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xr:revisionPtr revIDLastSave="0" documentId="13_ncr:1_{7F8FE715-9545-434F-B1E0-14FD5464B05D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개인정보취급방침" sheetId="2" r:id="rId1"/>
    <sheet name="입사지원서" sheetId="1" r:id="rId2"/>
  </sheets>
  <definedNames>
    <definedName name="_xlnm.Print_Area" localSheetId="0">개인정보취급방침!$A$1:$E$89</definedName>
    <definedName name="_xlnm.Print_Area" localSheetId="1">입사지원서!$A$1:$H$201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134" i="1" l="1"/>
  <c r="J33" i="1" l="1"/>
  <c r="E52" i="1"/>
  <c r="A52" i="1"/>
  <c r="B35" i="1" l="1"/>
  <c r="D35" i="1"/>
</calcChain>
</file>

<file path=xl/sharedStrings.xml><?xml version="1.0" encoding="utf-8"?>
<sst xmlns="http://schemas.openxmlformats.org/spreadsheetml/2006/main" count="224" uniqueCount="198">
  <si>
    <t>국적</t>
    <phoneticPr fontId="2" type="noConversion"/>
  </si>
  <si>
    <t>생년월일</t>
    <phoneticPr fontId="2" type="noConversion"/>
  </si>
  <si>
    <t>휴대전화</t>
    <phoneticPr fontId="2" type="noConversion"/>
  </si>
  <si>
    <t>e-Mail</t>
    <phoneticPr fontId="2" type="noConversion"/>
  </si>
  <si>
    <t>주소</t>
    <phoneticPr fontId="2" type="noConversion"/>
  </si>
  <si>
    <t>구분</t>
    <phoneticPr fontId="2" type="noConversion"/>
  </si>
  <si>
    <t>입학년월</t>
    <phoneticPr fontId="2" type="noConversion"/>
  </si>
  <si>
    <t>졸업년월</t>
    <phoneticPr fontId="2" type="noConversion"/>
  </si>
  <si>
    <t>학교</t>
    <phoneticPr fontId="2" type="noConversion"/>
  </si>
  <si>
    <t>전공</t>
    <phoneticPr fontId="2" type="noConversion"/>
  </si>
  <si>
    <t>학점</t>
    <phoneticPr fontId="2" type="noConversion"/>
  </si>
  <si>
    <t>회사명</t>
    <phoneticPr fontId="2" type="noConversion"/>
  </si>
  <si>
    <t>시작일</t>
    <phoneticPr fontId="2" type="noConversion"/>
  </si>
  <si>
    <t>종료일</t>
    <phoneticPr fontId="2" type="noConversion"/>
  </si>
  <si>
    <t>최종 직급</t>
    <phoneticPr fontId="2" type="noConversion"/>
  </si>
  <si>
    <t>년</t>
    <phoneticPr fontId="2" type="noConversion"/>
  </si>
  <si>
    <t>개월</t>
    <phoneticPr fontId="2" type="noConversion"/>
  </si>
  <si>
    <t>등급/점수</t>
    <phoneticPr fontId="2" type="noConversion"/>
  </si>
  <si>
    <t>자격 명칭</t>
    <phoneticPr fontId="2" type="noConversion"/>
  </si>
  <si>
    <t>주관처 (발급기관)</t>
    <phoneticPr fontId="2" type="noConversion"/>
  </si>
  <si>
    <t>취득일</t>
    <phoneticPr fontId="2" type="noConversion"/>
  </si>
  <si>
    <t>급수</t>
    <phoneticPr fontId="2" type="noConversion"/>
  </si>
  <si>
    <t>총 경력기간 :</t>
    <phoneticPr fontId="2" type="noConversion"/>
  </si>
  <si>
    <t>보훈 여부</t>
    <phoneticPr fontId="2" type="noConversion"/>
  </si>
  <si>
    <t>보훈 번호</t>
    <phoneticPr fontId="2" type="noConversion"/>
  </si>
  <si>
    <t>관계</t>
    <phoneticPr fontId="2" type="noConversion"/>
  </si>
  <si>
    <t>장애 여부</t>
    <phoneticPr fontId="2" type="noConversion"/>
  </si>
  <si>
    <t>장애 유형</t>
    <phoneticPr fontId="2" type="noConversion"/>
  </si>
  <si>
    <t>장애 등급</t>
    <phoneticPr fontId="2" type="noConversion"/>
  </si>
  <si>
    <t>병역 구분</t>
    <phoneticPr fontId="2" type="noConversion"/>
  </si>
  <si>
    <t>면제 사유</t>
    <phoneticPr fontId="2" type="noConversion"/>
  </si>
  <si>
    <t>군별</t>
    <phoneticPr fontId="2" type="noConversion"/>
  </si>
  <si>
    <t>최종 계급</t>
    <phoneticPr fontId="2" type="noConversion"/>
  </si>
  <si>
    <t>채용 구분</t>
    <phoneticPr fontId="2" type="noConversion"/>
  </si>
  <si>
    <t>정규직</t>
    <phoneticPr fontId="2" type="noConversion"/>
  </si>
  <si>
    <t>지원 지역</t>
    <phoneticPr fontId="2" type="noConversion"/>
  </si>
  <si>
    <t>지원 직무</t>
    <phoneticPr fontId="2" type="noConversion"/>
  </si>
  <si>
    <t>비고</t>
    <phoneticPr fontId="2" type="noConversion"/>
  </si>
  <si>
    <t>1. 지원정보</t>
    <phoneticPr fontId="2" type="noConversion"/>
  </si>
  <si>
    <t>고등학교</t>
    <phoneticPr fontId="2" type="noConversion"/>
  </si>
  <si>
    <t>yyyy-mm-dd</t>
    <phoneticPr fontId="2" type="noConversion"/>
  </si>
  <si>
    <t>/</t>
    <phoneticPr fontId="2" type="noConversion"/>
  </si>
  <si>
    <t>대학교 1</t>
    <phoneticPr fontId="2" type="noConversion"/>
  </si>
  <si>
    <t>대학교 2</t>
    <phoneticPr fontId="2" type="noConversion"/>
  </si>
  <si>
    <t>대학원 1</t>
    <phoneticPr fontId="2" type="noConversion"/>
  </si>
  <si>
    <t>대학원 2</t>
    <phoneticPr fontId="2" type="noConversion"/>
  </si>
  <si>
    <t>-</t>
    <phoneticPr fontId="2" type="noConversion"/>
  </si>
  <si>
    <t>졸업 여부</t>
    <phoneticPr fontId="2" type="noConversion"/>
  </si>
  <si>
    <t>고용 형태</t>
    <phoneticPr fontId="2" type="noConversion"/>
  </si>
  <si>
    <t>응시일</t>
    <phoneticPr fontId="2" type="noConversion"/>
  </si>
  <si>
    <t>학위 구분</t>
    <phoneticPr fontId="2" type="noConversion"/>
  </si>
  <si>
    <t>성명 (한글)</t>
    <phoneticPr fontId="2" type="noConversion"/>
  </si>
  <si>
    <t>성명 (영문)</t>
    <phoneticPr fontId="2" type="noConversion"/>
  </si>
  <si>
    <t>외국어</t>
    <phoneticPr fontId="2" type="noConversion"/>
  </si>
  <si>
    <t>외국어 시험/자격명</t>
    <phoneticPr fontId="2" type="noConversion"/>
  </si>
  <si>
    <t>항목</t>
  </si>
  <si>
    <t>   </t>
  </si>
  <si>
    <t>수탁업체</t>
  </si>
  <si>
    <t>업종</t>
  </si>
  <si>
    <t>교육</t>
  </si>
  <si>
    <t>자격검증</t>
  </si>
  <si>
    <t>의료</t>
  </si>
  <si>
    <t>건강검진</t>
  </si>
  <si>
    <t>개인정보 수집 및 이용안내, 민감정보 처리에 대한 안내, 제3자 정보제공 동의를 모두 읽었으며, 아래 내용에 모두 동의합니다.</t>
  </si>
  <si>
    <t>개인정보 수집 및 이용안내</t>
  </si>
  <si>
    <t>1. 개인정보의 수집 및 이용 목적</t>
  </si>
  <si>
    <t>2. 개인정보의 보유 및 이용 기간</t>
  </si>
  <si>
    <t>3. 동의를 거부할 권리 및 동의 거부에 따른 불이익</t>
  </si>
  <si>
    <t>민감정보의 처리에 대한 안내</t>
  </si>
  <si>
    <t>1. 민감정보의 수집 및 이용 목적</t>
  </si>
  <si>
    <t>2. 수집하는 민감정보의 항목</t>
  </si>
  <si>
    <t>3. 민감정보의 보유 및 이용 기간</t>
  </si>
  <si>
    <t>4. 동의를 거부할 권리 및 동의 거부에 따른 불이익</t>
  </si>
  <si>
    <t>제3자 정보제공 동의</t>
  </si>
  <si>
    <t>1. 개인정보처리의 제3자 정보제공에 관한 사항</t>
  </si>
  <si>
    <t>제공하는 개인정보</t>
  </si>
  <si>
    <t>보유 및 이용기간</t>
  </si>
  <si>
    <t>정보 제공 목적 달성 시</t>
  </si>
  <si>
    <t>KMI 한국의학연구소</t>
  </si>
  <si>
    <t>이름, 생년월일</t>
  </si>
  <si>
    <t>CJ올리브네트웍스</t>
  </si>
  <si>
    <t>수집된 개인정보 전체</t>
  </si>
  <si>
    <t>2. 개인정보의 제3자 제공에 관한 사항</t>
  </si>
  <si>
    <t>성명(국문, 영문), 국적, 전화번호, 이메일, 주소, 지원 직무, 지원 지역,
학력, 이수 학과 및 성적, 경력사항, 외국어 자격사항, 기타 자격,
보훈 및 장애인 대상여부, 병역, 자기소개</t>
    <phoneticPr fontId="2" type="noConversion"/>
  </si>
  <si>
    <t>이용 목적</t>
    <phoneticPr fontId="2" type="noConversion"/>
  </si>
  <si>
    <t xml:space="preserve">    (1) 채용된 입사지원자의 개인정보</t>
    <phoneticPr fontId="2" type="noConversion"/>
  </si>
  <si>
    <t xml:space="preserve">        - 보유기간 : 재직 중 보유</t>
    <phoneticPr fontId="2" type="noConversion"/>
  </si>
  <si>
    <t xml:space="preserve">        - 보유이유 : 재직 중 인사관리, 퇴직 후 복리후생, 경력증명서 발급 등</t>
    <phoneticPr fontId="2" type="noConversion"/>
  </si>
  <si>
    <t xml:space="preserve">    (2) 채용되지 아니한 입사지원자의 개인정보</t>
    <phoneticPr fontId="2" type="noConversion"/>
  </si>
  <si>
    <t xml:space="preserve">        - 보유이유 : 향후 채용 가능 자원의 관리</t>
    <phoneticPr fontId="2" type="noConversion"/>
  </si>
  <si>
    <t xml:space="preserve">    원칙적으로 회사는 개인정보의 수집 및 이용 목적이 달성된 때 또는 지원자께서 개인정보제공 동의를 철회하셨을 경우에는 지체 없이
    지원자의 개인정보를 파기합니다. 다만, 다음의 정보에 대하여는 정보주체의 동의 하에 아래의 이유로 명시한 기간 동안 보유합니다.</t>
    <phoneticPr fontId="2" type="noConversion"/>
  </si>
  <si>
    <t xml:space="preserve">    지원자는 본 안내에 따른 개인정보의 수집, 이용, 제공 및 위탁 등과 관련한 위 사항에 대하여 원하지 않는 경우 동의를 거부할 수 있습니다.
    다만, 본 안내에 따른 개인정보의 수집, 이용등과 관련한 위 사항은 회사의 공정한 채용전형에 있어 필수적인 항목으로 이에 대하여 동의하지
    않는 경우 채용전형에 지원이 불가능하다는 점을 유념하시기 바랍니다.</t>
    <phoneticPr fontId="2" type="noConversion"/>
  </si>
  <si>
    <t xml:space="preserve">    장애인 대상 여부</t>
    <phoneticPr fontId="2" type="noConversion"/>
  </si>
  <si>
    <t xml:space="preserve">    원칙적으로 회사는 개인정보의 수집 및 이용 목적이 달성된 때 또는 지원자께서 개인정보제공 동의를 철회 하셨을 경우에는 지체 없이
    지원자의 개인정보를 파기합니다. 다만, 다음의 정보에 대하여는 정보주체의 동의 하에 아래의 이유로 명시한 기간 동안 보유합니다.</t>
    <phoneticPr fontId="2" type="noConversion"/>
  </si>
  <si>
    <t xml:space="preserve">    (1) 채용된 입사지원자의 민감정보</t>
    <phoneticPr fontId="2" type="noConversion"/>
  </si>
  <si>
    <t xml:space="preserve">        - 보유이유 : 근무 부서 및 업무 배치 등</t>
    <phoneticPr fontId="2" type="noConversion"/>
  </si>
  <si>
    <t xml:space="preserve">    지원자는 본 안내에 따른 민감정보의 수집, 이용 등과 관련한 위 사항에 대하여 원하지 않는 경우 동의를 거부할 수 있습니다.
    다만, 본 안내에 따른 민감정보의 수집, 이용 등과 관련한 위 사항은 회사의 공정한 채용전형에 있어 필수적인 항목으로 이에 대하여
    동의하지 않는 경우 채용전형에 지원이 불가능하다는 점을 유념하시기 바랍니다.</t>
    <phoneticPr fontId="2" type="noConversion"/>
  </si>
  <si>
    <t>서비스 제공을 위한
시스템 운영 위탁</t>
    <phoneticPr fontId="2" type="noConversion"/>
  </si>
  <si>
    <t>IT업체</t>
    <phoneticPr fontId="2" type="noConversion"/>
  </si>
  <si>
    <t>크레듀,
한국토익위원회,
YBM시사,
한국BCT사업본부,
HSK 한국사무국</t>
    <phoneticPr fontId="2" type="noConversion"/>
  </si>
  <si>
    <t>이름, 생년월일,
해당성적, 응시일</t>
    <phoneticPr fontId="2" type="noConversion"/>
  </si>
  <si>
    <t>채용 진행에 따른 입사지원•선발전형•채용진행사항 관련
안내, 향후 채용 가능 자원의 관리, 급여지급 및 복리후생
제공 시 본인 식별</t>
    <phoneticPr fontId="2" type="noConversion"/>
  </si>
  <si>
    <t xml:space="preserve">    회사는 원칙적으로 지원자의 개인정보를 지원자의 동의 없이 타 기업 또는 기관에 제공하지 않습니다. 다만, 다음의 경우에는 예외적으로 동의 없이
    개인정보를 제공할 수 있습니다. 법령의 규정에 의하거나 수사 목적으로 법령에 정해진 절차와 방법에 따라 수사기관의 요구가 있는 경우.</t>
    <phoneticPr fontId="2" type="noConversion"/>
  </si>
  <si>
    <t xml:space="preserve">    지원자는 본 안내에 따른 제3자 정보제공에 관련한 위 사항에 대하여 원하지 않는 경우 동의를 거부할 수 있습니다. 다만, 본 안내에 따른
    민감정보의 수집, 이용 등과 관련한 위 사항은 회사의 공정한 채용전형에 있어 필수적인 항목으로 이에 대하여 동의하지 않는 경우 채용전형에
    지원이 불가능하다는 점을 유념하시기 바랍니다.</t>
    <phoneticPr fontId="2" type="noConversion"/>
  </si>
  <si>
    <t>동의 여부 :</t>
    <phoneticPr fontId="2" type="noConversion"/>
  </si>
  <si>
    <t>동의</t>
  </si>
  <si>
    <t xml:space="preserve">        - 보유기간 : 채용 종료일로부터 2년 (단, 지원자 요청 시 즉시 파기)</t>
    <phoneticPr fontId="2" type="noConversion"/>
  </si>
  <si>
    <t>이용 목적</t>
    <phoneticPr fontId="2" type="noConversion"/>
  </si>
  <si>
    <t>제공 받은 목적 달성 시
혹은 위탁계약 종료 시까지</t>
    <phoneticPr fontId="2" type="noConversion"/>
  </si>
  <si>
    <t>최종 소속 부서</t>
    <phoneticPr fontId="2" type="noConversion"/>
  </si>
  <si>
    <t>담당 업무 / 수행 Project</t>
    <phoneticPr fontId="2" type="noConversion"/>
  </si>
  <si>
    <t>2. 유의사항</t>
    <phoneticPr fontId="2" type="noConversion"/>
  </si>
  <si>
    <t xml:space="preserve">    (3) 처우협의</t>
    <phoneticPr fontId="2" type="noConversion"/>
  </si>
  <si>
    <t xml:space="preserve">    (4) 건강검진</t>
    <phoneticPr fontId="2" type="noConversion"/>
  </si>
  <si>
    <t xml:space="preserve">    (2) 인성검사 및 면접전형</t>
    <phoneticPr fontId="2" type="noConversion"/>
  </si>
  <si>
    <t xml:space="preserve">    (5) 최종 합격 및 입사 안내</t>
    <phoneticPr fontId="2" type="noConversion"/>
  </si>
  <si>
    <t>입사지원 시 유의사항</t>
    <phoneticPr fontId="2" type="noConversion"/>
  </si>
  <si>
    <t xml:space="preserve">    (1) 서류전형</t>
    <phoneticPr fontId="2" type="noConversion"/>
  </si>
  <si>
    <t>1. 채용 절차</t>
    <phoneticPr fontId="2" type="noConversion"/>
  </si>
  <si>
    <t xml:space="preserve">    (2) 입사지원서 내용이 사실과 다르거나 허위 서류를 제출하신 경우, 채용에 불이익이 있거나 추후 입사가 취소될 수 있습니다.</t>
    <phoneticPr fontId="2" type="noConversion"/>
  </si>
  <si>
    <t xml:space="preserve">    (1) 경력 및 학력, 자격 등에 관한 증빙서류는 전형 진행 시 별도로 제출을 안내하여 드립니다. 입사지원 시에는 본 지원서만 제출하시면 됩니다.</t>
    <phoneticPr fontId="2" type="noConversion"/>
  </si>
  <si>
    <t>☜ 자동 계산</t>
    <phoneticPr fontId="2" type="noConversion"/>
  </si>
  <si>
    <t>디아이웨어㈜ 입사지원서</t>
    <phoneticPr fontId="2" type="noConversion"/>
  </si>
  <si>
    <t xml:space="preserve">    (3) 상기 채용 절차가 모두 완료되어 '최종 합격 및 입사 안내'를 받으셔야 채용이 확정됩니다.</t>
    <phoneticPr fontId="2" type="noConversion"/>
  </si>
  <si>
    <r>
      <t xml:space="preserve">3. 채용 관련 문의 및 지원서 제출 : </t>
    </r>
    <r>
      <rPr>
        <b/>
        <sz val="11"/>
        <color rgb="FFC00000"/>
        <rFont val="맑은 고딕"/>
        <family val="3"/>
        <charset val="129"/>
        <scheme val="minor"/>
      </rPr>
      <t>모집공고에 기재된 주소로 이메일 제출</t>
    </r>
    <phoneticPr fontId="2" type="noConversion"/>
  </si>
  <si>
    <t xml:space="preserve">    채용과정 진행, 입사 후 근무 부서/업무 배치 및 향후 채용 가능 자원의 관리 등</t>
    <phoneticPr fontId="2" type="noConversion"/>
  </si>
  <si>
    <r>
      <t xml:space="preserve">아래 &lt;개인정보 취급방침&gt; 및 하단 </t>
    </r>
    <r>
      <rPr>
        <b/>
        <sz val="10"/>
        <color rgb="FFFF0000"/>
        <rFont val="맑은 고딕"/>
        <family val="3"/>
        <charset val="129"/>
        <scheme val="minor"/>
      </rPr>
      <t>&lt;입사지원 시 유의사항&gt;</t>
    </r>
    <r>
      <rPr>
        <b/>
        <sz val="10"/>
        <color theme="1"/>
        <rFont val="맑은 고딕"/>
        <family val="3"/>
        <charset val="129"/>
        <scheme val="minor"/>
      </rPr>
      <t>을 반드시 확인하여 주십시오.</t>
    </r>
    <phoneticPr fontId="2" type="noConversion"/>
  </si>
  <si>
    <t>디아이웨어㈜(이하 '회사')는 「개인정보 보호법」등 관련 법령에 따라 입사전형 및 채용 후 인사관리 등의 목적으로 입사지원자의 개인정보를 수집하고
있습니다. 귀하의 개인정보 수집 및 이용과 관련하여 아래의 안내 내용을 자세히 읽어 보시고, 모든 내용을 숙지하신 후에 개인정보의 수집 및 이용에
관한 동의 여부를 결정해 주시기 바랍니다.</t>
    <phoneticPr fontId="2" type="noConversion"/>
  </si>
  <si>
    <t>디아이웨어㈜(이하 '회사')는 「개인정보 보호법」등 관련 법령에 따라 채용과정 진행 및 입사 후 근무 부서, 업무 배치 등을 목적으로 입사지원자의
민감정보를 수집하고 있습니다. 귀하의 민감정보 수집 및 이용과 관련하여 아래의 안내 내용을 자세히 읽어 보시고, 모든 내용을 숙지하신 후에
민감정보의 수집 및 이용에 관한 동의 여부를 결정해 주시기 바랍니다.</t>
    <phoneticPr fontId="2" type="noConversion"/>
  </si>
  <si>
    <t xml:space="preserve">    디아이웨어㈜(이하 '회사')는 개인정보의 처리와 관련하여 지원자의 동의를 얻어 아래와 같이 제3자에게 정보를 제공하고 있으며,
    관계 법령에 따라 계약 시 개인정보가 안전하게 관리될 수 있도록 필요한 사항을 규정하고 있습니다.</t>
    <phoneticPr fontId="2" type="noConversion"/>
  </si>
  <si>
    <t>ABAP</t>
    <phoneticPr fontId="2" type="noConversion"/>
  </si>
  <si>
    <t>ASP.Net</t>
    <phoneticPr fontId="2" type="noConversion"/>
  </si>
  <si>
    <t>C#</t>
    <phoneticPr fontId="2" type="noConversion"/>
  </si>
  <si>
    <t>VB.Net</t>
    <phoneticPr fontId="2" type="noConversion"/>
  </si>
  <si>
    <t>PB</t>
    <phoneticPr fontId="2" type="noConversion"/>
  </si>
  <si>
    <t>Python</t>
    <phoneticPr fontId="2" type="noConversion"/>
  </si>
  <si>
    <t>Java</t>
    <phoneticPr fontId="2" type="noConversion"/>
  </si>
  <si>
    <t>ProC</t>
    <phoneticPr fontId="2" type="noConversion"/>
  </si>
  <si>
    <t>개발언어</t>
    <phoneticPr fontId="2" type="noConversion"/>
  </si>
  <si>
    <t>기타 (직접 입력)</t>
    <phoneticPr fontId="2" type="noConversion"/>
  </si>
  <si>
    <t>Oracle</t>
    <phoneticPr fontId="2" type="noConversion"/>
  </si>
  <si>
    <t>MS-SQL</t>
    <phoneticPr fontId="2" type="noConversion"/>
  </si>
  <si>
    <t>Maria</t>
    <phoneticPr fontId="2" type="noConversion"/>
  </si>
  <si>
    <t>Mongo</t>
    <phoneticPr fontId="2" type="noConversion"/>
  </si>
  <si>
    <t>HANA</t>
    <phoneticPr fontId="2" type="noConversion"/>
  </si>
  <si>
    <t>DB</t>
    <phoneticPr fontId="2" type="noConversion"/>
  </si>
  <si>
    <t>최종 연봉(만원)</t>
    <phoneticPr fontId="2" type="noConversion"/>
  </si>
  <si>
    <r>
      <t>10</t>
    </r>
    <r>
      <rPr>
        <b/>
        <sz val="11"/>
        <color theme="1"/>
        <rFont val="맑은 고딕"/>
        <family val="2"/>
        <charset val="129"/>
        <scheme val="minor"/>
      </rPr>
      <t xml:space="preserve">. 경력기술 : 경력기간 중 수행한 업무를 구체적(프로젝트 명, 수행역할 및 기간 명시 필수)으로 기술하여 주십시오. </t>
    </r>
    <r>
      <rPr>
        <b/>
        <sz val="10"/>
        <color theme="1" tint="0.499984740745262"/>
        <rFont val="맑은 고딕"/>
        <family val="3"/>
        <charset val="129"/>
        <scheme val="minor"/>
      </rPr>
      <t>(60줄 이내)</t>
    </r>
    <phoneticPr fontId="2" type="noConversion"/>
  </si>
  <si>
    <r>
      <t xml:space="preserve">11. 자기소개 : 성격의 장·단점, 특기사항, 지원동기 및 입사 후 포부 등 본인 소개 내용을 자유롭게 기술하여 주십시오. </t>
    </r>
    <r>
      <rPr>
        <b/>
        <sz val="10"/>
        <color theme="1" tint="0.499984740745262"/>
        <rFont val="맑은 고딕"/>
        <family val="3"/>
        <charset val="129"/>
        <scheme val="minor"/>
      </rPr>
      <t>(60줄 이내)</t>
    </r>
    <phoneticPr fontId="2" type="noConversion"/>
  </si>
  <si>
    <t>경력 각사 채용</t>
    <phoneticPr fontId="2" type="noConversion"/>
  </si>
  <si>
    <t>3. 학력사항 (필수 기재)</t>
    <phoneticPr fontId="2" type="noConversion"/>
  </si>
  <si>
    <r>
      <t xml:space="preserve">4. 경력사항 </t>
    </r>
    <r>
      <rPr>
        <b/>
        <sz val="10"/>
        <color theme="1" tint="0.499984740745262"/>
        <rFont val="맑은 고딕"/>
        <family val="3"/>
        <charset val="129"/>
        <scheme val="minor"/>
      </rPr>
      <t xml:space="preserve">(필수 기재 / </t>
    </r>
    <r>
      <rPr>
        <b/>
        <u/>
        <sz val="10"/>
        <color theme="1" tint="0.499984740745262"/>
        <rFont val="맑은 고딕"/>
        <family val="3"/>
        <charset val="129"/>
        <scheme val="minor"/>
      </rPr>
      <t>최근 경력부터</t>
    </r>
    <r>
      <rPr>
        <b/>
        <sz val="10"/>
        <color theme="1" tint="0.499984740745262"/>
        <rFont val="맑은 고딕"/>
        <family val="3"/>
        <charset val="129"/>
        <scheme val="minor"/>
      </rPr>
      <t>, 개인사업 또는 개인도급 경력 포함)</t>
    </r>
    <phoneticPr fontId="2" type="noConversion"/>
  </si>
  <si>
    <t>5. 어학사항 (해당자 기재)</t>
    <phoneticPr fontId="2" type="noConversion"/>
  </si>
  <si>
    <t>6. 자격사항 (해당자 기재)</t>
    <phoneticPr fontId="2" type="noConversion"/>
  </si>
  <si>
    <t>7. 보훈 및 장애 관련 사항 (해당자 기재)</t>
    <phoneticPr fontId="2" type="noConversion"/>
  </si>
  <si>
    <t>8. 병역사항 (해당자 기재)</t>
    <phoneticPr fontId="2" type="noConversion"/>
  </si>
  <si>
    <t>9. 주요스킬 (필수 기재)</t>
    <phoneticPr fontId="2" type="noConversion"/>
  </si>
  <si>
    <r>
      <t xml:space="preserve">지원자 본인은, </t>
    </r>
    <r>
      <rPr>
        <b/>
        <u/>
        <sz val="10"/>
        <color theme="1"/>
        <rFont val="맑은 고딕"/>
        <family val="3"/>
        <charset val="129"/>
        <scheme val="minor"/>
      </rPr>
      <t>本입사지원서에 기재한 내용과 사실이 상이한 경우</t>
    </r>
    <r>
      <rPr>
        <b/>
        <sz val="10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rgb="FFFF0000"/>
        <rFont val="맑은 고딕"/>
        <family val="3"/>
        <charset val="129"/>
        <scheme val="minor"/>
      </rPr>
      <t>입사확정이후라도 채용취소가 될 수 있음을 인지했으며, 이에 동의</t>
    </r>
    <r>
      <rPr>
        <b/>
        <sz val="10"/>
        <color theme="1"/>
        <rFont val="맑은 고딕"/>
        <family val="3"/>
        <charset val="129"/>
        <scheme val="minor"/>
      </rPr>
      <t>합니다.</t>
    </r>
    <phoneticPr fontId="2" type="noConversion"/>
  </si>
  <si>
    <t>※ 기본연봉 기준 작성(성과/상여금等 미포함) 必</t>
    <phoneticPr fontId="2" type="noConversion"/>
  </si>
  <si>
    <r>
      <t xml:space="preserve">2. 인적사항 </t>
    </r>
    <r>
      <rPr>
        <b/>
        <sz val="11"/>
        <color rgb="FFFF0000"/>
        <rFont val="맑은 고딕"/>
        <family val="3"/>
        <charset val="129"/>
        <scheme val="minor"/>
      </rPr>
      <t>(필수 기재)</t>
    </r>
    <phoneticPr fontId="2" type="noConversion"/>
  </si>
  <si>
    <t>서울</t>
    <phoneticPr fontId="2" type="noConversion"/>
  </si>
  <si>
    <t>이진표</t>
    <phoneticPr fontId="2" type="noConversion"/>
  </si>
  <si>
    <t>대한민국</t>
    <phoneticPr fontId="2" type="noConversion"/>
  </si>
  <si>
    <t>Lee Jin Pyo</t>
    <phoneticPr fontId="2" type="noConversion"/>
  </si>
  <si>
    <t>010-7793-5709</t>
    <phoneticPr fontId="2" type="noConversion"/>
  </si>
  <si>
    <t>jinpyolee19@naver.com</t>
    <phoneticPr fontId="2" type="noConversion"/>
  </si>
  <si>
    <t>안양시 동안구</t>
    <phoneticPr fontId="2" type="noConversion"/>
  </si>
  <si>
    <t>동안고등학교</t>
    <phoneticPr fontId="2" type="noConversion"/>
  </si>
  <si>
    <t>졸업</t>
  </si>
  <si>
    <t>학사</t>
  </si>
  <si>
    <t>안양대학교</t>
    <phoneticPr fontId="2" type="noConversion"/>
  </si>
  <si>
    <t>컴퓨터공학과</t>
    <phoneticPr fontId="2" type="noConversion"/>
  </si>
  <si>
    <t>3.18/4.5</t>
    <phoneticPr fontId="2" type="noConversion"/>
  </si>
  <si>
    <t>㈜솔루링크</t>
    <phoneticPr fontId="2" type="noConversion"/>
  </si>
  <si>
    <t>정규직</t>
  </si>
  <si>
    <t>사원</t>
    <phoneticPr fontId="2" type="noConversion"/>
  </si>
  <si>
    <t>기술지원부</t>
    <phoneticPr fontId="2" type="noConversion"/>
  </si>
  <si>
    <t>EAI 개발 / 수협 Nextro 고도화 프로젝트</t>
    <phoneticPr fontId="2" type="noConversion"/>
  </si>
  <si>
    <t>미해당</t>
  </si>
  <si>
    <t>병역필</t>
  </si>
  <si>
    <t>기타</t>
  </si>
  <si>
    <t>수경</t>
    <phoneticPr fontId="2" type="noConversion"/>
  </si>
  <si>
    <t>Java</t>
  </si>
  <si>
    <t>Oracle</t>
  </si>
  <si>
    <t>Maria</t>
  </si>
  <si>
    <t>정보처리기사</t>
    <phoneticPr fontId="2" type="noConversion"/>
  </si>
  <si>
    <t>한국산업인력공단</t>
    <phoneticPr fontId="2" type="noConversion"/>
  </si>
  <si>
    <t>2종보통운전면허</t>
    <phoneticPr fontId="2" type="noConversion"/>
  </si>
  <si>
    <t>경찰청(운전면허시험관리단)</t>
    <phoneticPr fontId="2" type="noConversion"/>
  </si>
  <si>
    <t>2019-11.22</t>
    <phoneticPr fontId="2" type="noConversion"/>
  </si>
  <si>
    <t>2012-01.05</t>
    <phoneticPr fontId="2" type="noConversion"/>
  </si>
  <si>
    <t>ITQ 아래한글</t>
    <phoneticPr fontId="2" type="noConversion"/>
  </si>
  <si>
    <t>C</t>
    <phoneticPr fontId="2" type="noConversion"/>
  </si>
  <si>
    <t>한국생산성본부</t>
    <phoneticPr fontId="2" type="noConversion"/>
  </si>
  <si>
    <t>2004-04.15</t>
    <phoneticPr fontId="2" type="noConversion"/>
  </si>
  <si>
    <t>주요 업무
EAI 솔루션 개발, 테스트 및 유지보수
사용기술: Java, Spring(SpringBoot 경험o), OracleDB, MySQL, Linux, Mybatis, Hibernate, JavaScript, JQuery, Vue.js, React.js, HTML, CSS, BootStrap
2. 주요 성과
ISM(Integration Service Mastery): 복잡 다양한 백엔드 시스템 간의 통합을 안정적, 효율적으로 지원하고 운영 환경에서도 변화에 대한 빠른 대응 및 확장성을 제공하는 EAI 시스템
수행역할(기여도): 개발 / 30%
기간: 2019.08~2021.08 (24개월)
- ISM 2.4버전 -≫ 2.5버전 개발
- Adobe Flex로 개발된 ISM을 Vue.js 버전으로 개발
- DB to DB, DB to File, File to DB, File to File(직접전송, 간접전송) 테스트 수행
- 온라인 거래 테스트를 위한 소켓통신 개발
- Apache commons.net 라이브러리 FTP 통신 개발
- DB 테스트를 위한 SQL Clinet 개발 및 테이블 Sync 작업
URM(User Request Manager): ISM 거래를 위해 사용되는 웹 콘솔 프로그램 
수행역할(기여도): 개발 / 30%
기간: 2020.01~2022.04 (28개월)
- Adobe Flex로 개발된 URM을 Spring Frame워크를 사용하여 Vue와 React버전으로 개발
- 필드, 필드그룹, 데이터, 데이터구조, 서비스, 인터페이스 등등 컴포넌트 개발
- Apache POI 라이브러리 엑셀 다운로드 개발
BW(Business Ware): 어플리케이션 통합을 위한 비즈니스 프로세스 통합 플랫폼
수행역할(기여도): 개발 / 30%
기간: 2020.01~2021.01(12개월)
- BW 모델링 개발 및 배포
- 리눅스 환경에서 기동되는 BW 주요 모델 모니터링
기타
- AppDynamics(모니터링 어플리케이션) 테스트 코드 안드로이드로 개발
- API 테스트를 위한 Restful API개발
- 블로그: https://thefif19wlsvy.tistory.com
- 깃허브: https://github.com/wlsvy19
프로젝트 경험
프로젝트명: 수협 Nextro 고도화 프로젝트
수행역할(기여도): 개발 / 35%
기간: 2021.05~2022.01 (8개월)
프로젝트 내용: 수협은행 전산시스템 노후화로 인한 전반적인 기기 교체가 이루어지며 진행된 대규모 프로젝트
소속: 솔루링크
발주처: LG CNS
담당역할: EAI 구축
상세내용
- Linux 환경에 EAI 프로그램 설치, 개발, 테스트, 모니터링
- 회사내에서 개발한 URM을 고객의 요구사항을 반영하여 개발
- 서버의 가용성을 위해 이중화 작업
- 개발, 테스트, 운영 서버 모니터링
- 배치, 온라인, 디퍼드 거래의 모델 개발 및 테스트
   - 양방향 동기 전송
   - 양방향 비동기 전송
   - 단방향 비동기 전송
   - 동기-비동기 전송
   - DB to DB
   - DB to File 전송
   - File to DB 전송
   - File to File
   - DB to DB 순차 디퍼드
   - DB to File 순차 디퍼드
   - DB to File 병렬 디퍼드</t>
    <phoneticPr fontId="2" type="noConversion"/>
  </si>
  <si>
    <t>1. 기업과 더불어 지속적으로 성장하는 개발자
저의 입사 후 목표는 지속적으로 성장하는 개발자가 되어 기업에 많은 기여를 하는것 입니다.
이를 위해 모든 일에 호기심을 가지고 주어진 일을 능동적으로 처리하며 왜 그런지 항상 생각하겠습니다.
이 목표를 이루기 위해서,
첫 번째, 회사 분위기를 빠르게 파악하여 회사에 빠르게 흡수되겠습니다.
이를 위해 회사의 가치관을 이해하고 선임분들에게 겸손한 자세로 일을 배우고 잘 어울려 협업할 수 있는 사원이 되겠습니다.
두 번째, 주어진 일이 잘 풀리지 않는다고 하여 질문부터 하지 않겠습니다.
이는 내 일을 대신 해달라는 말과 다르지 않다고 생각합니다. 물어보기 전에 충분히 생각하고, 서적을 살펴보고, 검색하며 최대한 스스로 해결할 수 있도록 노력하겠습니다. 할 수 있는 최선을 다했음에도 불구하고 일이 잘 풀리지 않았을 경우 질문하겠습니다.
세 번째, 모든 일에 있어 항상 호기심을 가지고 접근하겠습니다.
어떤 코드가 동작하면 단순히 ‘동작하는구나’에서 끝나는 것이 아니라 왜 이렇게 동작하는지 코드를 이렇게 바꿔보면 어떻게 동작하는지 등의 호기심을 가지고 업무에 임하겠습니다.
네 번째, 실수로부터 배우겠습니다.
사람은 누구나 실수할 수 있다고 생각합니다. 단, 같은 실수를 반복하면 그것은 문제가 있다고 생각합니다.
실수를 했다면 이 실수를 내가 왜 했는지부터 분석하여 다음번에 같은 실수가 반복되지 않도록 하겠습니다.
이렇게 하여 기업과 더불어 지속적으로 성장하는 개발자가 되고 많은 기여를 하고 싶습니다.
2. 열정적인 삶을 추구하는 개발자
저는 의무경찰로 군 복무를 했습니다. 광명 방범순찰대로 자대배치를 받았고 근무가 끝나면 선임들이 족구를 많이 했습니다. 선임들의 권유로 처음 족구를 해봤는데 정말 못했습니다. 하지만 쉬는 시간 혼자 나가 연습을 많이 하였고 그 결과 경기도 의무경찰 족구대회에서 준우승까지 하는 쾌거를 이루었습니다. 제대하고 나서도 족구 동호회를 2개나 들 정도로 열정적으로 족구를 했습니다.
어느 날 유튜브를 보다가 드론을 우연히 보게 되었는데 드론으로 촬영한 풍경들이 너무나도 이뻐서 드론을 구매했습니다. 쉬는 날이면 산, 바다 등등을 돌아다니며 촬영을 했고 집으로 돌아와 며칠을 밤새며 동영상도 편집했습니다. 비록 만들어진 동영상은 2~3분 내외일지라도 저는 드론 촬영을 위해 이곳저곳 돌아다닐 때 정말 행복했습니다.
이렇듯 저는 무언가에 꽂히면 정말 열정적으로 합니다. 이러한 열정은 일할 때에도 매우 긍정적으로 작용할 수 있습니다. 회사에서 프로젝트를 진행할 때 처음 한 달 동안 정말 바빴고 힘들었습니다. 그래서 퇴근 후에 집으로 와서 몰랐던 개념을 인터넷 검색을 통하여 공부하고 정리했습니다. 피곤했지만 그래도 모르는 부분을 채워가며 열정적으로 하다 보니 프로젝트에 탄력도 붙고 재밌어졌습니다. 그렇게 한 달이 지나고 두 달째부터는 프로젝트 진행이 매우 수월했습니다. 결과적으로 프로젝트는 성공적으로 마무리되었고 저는 많은 보람을 느꼈습니다.
3. 본 성격의 장단점
저는 책임감이 강하고 주어진 일들을 꼼꼼하게 처리합니다.
대학교 3학년 때, 1년 동안 학교 강의실 관리자로 일한 적이 있습니다. 하는 일은 강의실 컴퓨터들이 문제없이 작동하여 학우들이 수업을 받는 데 지장 없도록 컴퓨터를 관리하는 일이었습니다. 이 일을 잘 수행하기 위해 체크리스트를 만들었습니다. 구체적으로 ‘작동하지 않는 컴퓨터가 있는지’, ‘학생들이 외부 프로그램을 설치 후 지우지 않았는지’, ‘바이러스에 걸리지 않았는지’ 와 같은 리스트를 만들고 모든 수업이 마친 뒤, 컴퓨터를 점검하고 관리했습니다.
그렇게 한 학기가 끝나면 학우들의 강의실 컴퓨터 만족도 설문조사’를 시행하는데 기준 점수가 넘으면 한 학기를 더 할 수 있습니다. 저는 설문조사에서 평균 ‘만족’을 받았고, 한 학기를 더할 수 있었습니다. 이처럼 입사 후에도 제가 맡은 일은 책임감을 가지고 꼼꼼하게 처리해 나가겠습니다.
그러나 제 성격의 단점은 하나에 너무 집중한 나머지 주변을 잘 신경 못쓴다는 점입니다. 단점을 고치기 위해 중요한 일들이 많을 땐 수첩에 메모하거나 핸드폰 알람을 맞춰놓고 마감기한을 설정하고 있습니다.
4. 기억보단 기록을 하는 개발자
기록하는 것은 기억하는 것보다 상당한 힘을 가진다고 생각합니다.
그래서 저는 내일의 할 일이나 공부하면서 모르는 게 나오면 핸드폰에 메모하는 습관이 있습니다. 공부하다 모르는 것이 나오면 단순히 찾아보고 끝나는 것이 아니라 기록하여 반복해서 보기 위해 저는 블로그를 만들었습니다. 이는 시간이 지나도 기록이 되어있으므로 저에게 큰 힘이 되었습니다.
앞으로도 꾸준한 기록을 통해 실력 있는 개발자가 되겠습니다.</t>
    <phoneticPr fontId="2" type="noConversion"/>
  </si>
  <si>
    <t>CJ대한통운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</si>
</sst>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"/>
  </numFmts>
  <fonts count="1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u/>
      <sz val="10"/>
      <color theme="1" tint="0.499984740745262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horizontal="centerContinuous" vertical="center"/>
    </xf>
    <xf numFmtId="0" fontId="1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4" fontId="4" fillId="2" borderId="1" xfId="0" applyNumberFormat="1" applyFont="1" applyFill="1" applyBorder="1" applyAlignment="1" applyProtection="1">
      <alignment horizontal="center" vertical="center"/>
      <protection locked="0"/>
    </xf>
    <xf numFmtId="176" fontId="4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4" fillId="2" borderId="1" xfId="0" applyFont="1" applyFill="1" applyBorder="1" applyProtection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176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14" fontId="4" fillId="2" borderId="10" xfId="0" applyNumberFormat="1" applyFont="1" applyFill="1" applyBorder="1" applyAlignment="1" applyProtection="1">
      <alignment horizontal="center" vertical="center"/>
      <protection locked="0"/>
    </xf>
    <xf numFmtId="14" fontId="4" fillId="2" borderId="18" xfId="0" applyNumberFormat="1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10" xfId="0" applyFont="1" applyFill="1" applyBorder="1" applyAlignment="1" applyProtection="1">
      <alignment vertical="center"/>
      <protection locked="0"/>
    </xf>
    <xf numFmtId="0" fontId="5" fillId="3" borderId="5" xfId="0" applyFont="1" applyFill="1" applyBorder="1" applyAlignment="1">
      <alignment horizontal="center"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12" fillId="2" borderId="0" xfId="0" applyFont="1" applyFill="1" applyAlignment="1">
      <alignment horizontal="centerContinuous" vertical="center"/>
    </xf>
    <xf numFmtId="0" fontId="0" fillId="2" borderId="0" xfId="0" applyFont="1" applyFill="1" applyAlignment="1">
      <alignment horizontal="center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0" xfId="0" applyFont="1" applyFill="1" applyProtection="1">
      <alignment vertical="center"/>
    </xf>
    <xf numFmtId="0" fontId="5" fillId="3" borderId="2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6" fillId="2" borderId="0" xfId="0" applyFont="1" applyFill="1" applyAlignment="1"/>
    <xf numFmtId="0" fontId="1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 applyProtection="1">
      <alignment vertical="center"/>
      <protection locked="0"/>
    </xf>
    <xf numFmtId="0" fontId="4" fillId="2" borderId="15" xfId="0" applyFont="1" applyFill="1" applyBorder="1" applyAlignment="1" applyProtection="1">
      <alignment vertical="center"/>
      <protection locked="0"/>
    </xf>
    <xf numFmtId="14" fontId="4" fillId="2" borderId="2" xfId="0" applyNumberFormat="1" applyFont="1" applyFill="1" applyBorder="1" applyAlignment="1" applyProtection="1">
      <alignment horizontal="center" vertical="center"/>
      <protection locked="0"/>
    </xf>
    <xf numFmtId="14" fontId="4" fillId="2" borderId="15" xfId="0" applyNumberFormat="1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vertical="center"/>
      <protection locked="0"/>
    </xf>
    <xf numFmtId="0" fontId="4" fillId="2" borderId="13" xfId="0" applyFont="1" applyFill="1" applyBorder="1" applyAlignment="1" applyProtection="1">
      <alignment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vertical="top" wrapText="1"/>
      <protection locked="0"/>
    </xf>
    <xf numFmtId="0" fontId="4" fillId="2" borderId="24" xfId="0" applyFont="1" applyFill="1" applyBorder="1" applyAlignment="1" applyProtection="1">
      <alignment vertical="top"/>
      <protection locked="0"/>
    </xf>
    <xf numFmtId="0" fontId="4" fillId="2" borderId="25" xfId="0" applyFont="1" applyFill="1" applyBorder="1" applyAlignment="1" applyProtection="1">
      <alignment vertical="top"/>
      <protection locked="0"/>
    </xf>
    <xf numFmtId="0" fontId="4" fillId="2" borderId="26" xfId="0" applyFont="1" applyFill="1" applyBorder="1" applyAlignment="1" applyProtection="1">
      <alignment vertical="top"/>
      <protection locked="0"/>
    </xf>
    <xf numFmtId="0" fontId="4" fillId="2" borderId="0" xfId="0" applyFont="1" applyFill="1" applyBorder="1" applyAlignment="1" applyProtection="1">
      <alignment vertical="top"/>
      <protection locked="0"/>
    </xf>
    <xf numFmtId="0" fontId="4" fillId="2" borderId="27" xfId="0" applyFont="1" applyFill="1" applyBorder="1" applyAlignment="1" applyProtection="1">
      <alignment vertical="top"/>
      <protection locked="0"/>
    </xf>
    <xf numFmtId="0" fontId="4" fillId="2" borderId="28" xfId="0" applyFont="1" applyFill="1" applyBorder="1" applyAlignment="1" applyProtection="1">
      <alignment vertical="top"/>
      <protection locked="0"/>
    </xf>
    <xf numFmtId="0" fontId="4" fillId="2" borderId="29" xfId="0" applyFont="1" applyFill="1" applyBorder="1" applyAlignment="1" applyProtection="1">
      <alignment vertical="top"/>
      <protection locked="0"/>
    </xf>
    <xf numFmtId="0" fontId="4" fillId="2" borderId="30" xfId="0" applyFont="1" applyFill="1" applyBorder="1" applyAlignment="1" applyProtection="1">
      <alignment vertical="top"/>
      <protection locked="0"/>
    </xf>
    <xf numFmtId="0" fontId="5" fillId="3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22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18" fillId="2" borderId="2" xfId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 applyProtection="1">
      <alignment horizontal="center" vertical="center"/>
      <protection locked="0"/>
    </xf>
    <xf numFmtId="14" fontId="4" fillId="2" borderId="8" xfId="0" applyNumberFormat="1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14" fontId="4" fillId="2" borderId="11" xfId="0" applyNumberFormat="1" applyFont="1" applyFill="1" applyBorder="1" applyAlignment="1" applyProtection="1">
      <alignment horizontal="center" vertical="center"/>
      <protection locked="0"/>
    </xf>
    <xf numFmtId="14" fontId="4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3" borderId="2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669CC8"/>
      <color rgb="FF7395D3"/>
      <color rgb="FFDD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51077;&#49324;&#51648;&#50896;&#49436;!E6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6</xdr:row>
      <xdr:rowOff>76200</xdr:rowOff>
    </xdr:from>
    <xdr:to>
      <xdr:col>4</xdr:col>
      <xdr:colOff>1714500</xdr:colOff>
      <xdr:row>10</xdr:row>
      <xdr:rowOff>0</xdr:rowOff>
    </xdr:to>
    <xdr:sp macro="" textlink="">
      <xdr:nvSpPr>
        <xdr:cNvPr id="2" name="줄무늬가 있는 오른쪽 화살표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562850" y="1000125"/>
          <a:ext cx="1047750" cy="657225"/>
        </a:xfrm>
        <a:prstGeom prst="stripedRightArrow">
          <a:avLst>
            <a:gd name="adj1" fmla="val 74901"/>
            <a:gd name="adj2" fmla="val 38732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 b="1">
              <a:solidFill>
                <a:sysClr val="windowText" lastClr="000000"/>
              </a:solidFill>
            </a:rPr>
            <a:t>입사지원서</a:t>
          </a:r>
          <a:br>
            <a:rPr lang="en-US" altLang="ko-KR" sz="900" b="1">
              <a:solidFill>
                <a:sysClr val="windowText" lastClr="000000"/>
              </a:solidFill>
            </a:rPr>
          </a:br>
          <a:r>
            <a:rPr lang="ko-KR" altLang="en-US" sz="900" b="1">
              <a:solidFill>
                <a:sysClr val="windowText" lastClr="000000"/>
              </a:solidFill>
            </a:rPr>
            <a:t>작성 </a:t>
          </a:r>
          <a:r>
            <a:rPr lang="en-US" altLang="ko-KR" sz="900" b="1">
              <a:solidFill>
                <a:sysClr val="windowText" lastClr="000000"/>
              </a:solidFill>
            </a:rPr>
            <a:t>(Click)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6</xdr:row>
      <xdr:rowOff>95250</xdr:rowOff>
    </xdr:from>
    <xdr:to>
      <xdr:col>7</xdr:col>
      <xdr:colOff>504825</xdr:colOff>
      <xdr:row>13</xdr:row>
      <xdr:rowOff>49350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29475" y="1381125"/>
          <a:ext cx="1076325" cy="14400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inpyolee19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D5D5D"/>
  </sheetPr>
  <dimension ref="A2:E88"/>
  <sheetViews>
    <sheetView topLeftCell="A40" zoomScaleNormal="100" workbookViewId="0">
      <selection activeCell="A85" sqref="A85:E85"/>
    </sheetView>
  </sheetViews>
  <sheetFormatPr defaultColWidth="9" defaultRowHeight="13.5" x14ac:dyDescent="0.3"/>
  <cols>
    <col min="1" max="5" width="22.625" style="33" customWidth="1"/>
    <col min="6" max="16384" width="9" style="33"/>
  </cols>
  <sheetData>
    <row r="2" spans="1:5" x14ac:dyDescent="0.3">
      <c r="A2" s="57" t="s">
        <v>126</v>
      </c>
      <c r="B2" s="54"/>
      <c r="C2" s="54"/>
      <c r="D2" s="54"/>
      <c r="E2" s="54"/>
    </row>
    <row r="3" spans="1:5" x14ac:dyDescent="0.3">
      <c r="A3" s="12"/>
      <c r="B3" s="1"/>
      <c r="C3" s="1"/>
      <c r="D3" s="1"/>
      <c r="E3" s="1"/>
    </row>
    <row r="4" spans="1:5" x14ac:dyDescent="0.3">
      <c r="A4" s="57" t="s">
        <v>63</v>
      </c>
      <c r="B4" s="57"/>
      <c r="C4" s="57"/>
      <c r="D4" s="57"/>
      <c r="E4" s="57"/>
    </row>
    <row r="5" spans="1:5" ht="8.1" customHeight="1" thickBot="1" x14ac:dyDescent="0.35"/>
    <row r="6" spans="1:5" ht="17.25" thickBot="1" x14ac:dyDescent="0.35">
      <c r="D6" s="39" t="s">
        <v>104</v>
      </c>
      <c r="E6" s="40" t="s">
        <v>105</v>
      </c>
    </row>
    <row r="10" spans="1:5" ht="17.25" x14ac:dyDescent="0.3">
      <c r="A10" s="38" t="s">
        <v>64</v>
      </c>
      <c r="B10" s="4"/>
      <c r="C10" s="4"/>
      <c r="D10" s="4"/>
      <c r="E10" s="4"/>
    </row>
    <row r="11" spans="1:5" x14ac:dyDescent="0.3">
      <c r="A11" s="4"/>
      <c r="B11" s="4"/>
      <c r="C11" s="4"/>
      <c r="D11" s="4"/>
      <c r="E11" s="4"/>
    </row>
    <row r="12" spans="1:5" ht="48" customHeight="1" x14ac:dyDescent="0.3">
      <c r="A12" s="55" t="s">
        <v>127</v>
      </c>
      <c r="B12" s="55"/>
      <c r="C12" s="55"/>
      <c r="D12" s="55"/>
      <c r="E12" s="55"/>
    </row>
    <row r="14" spans="1:5" ht="16.5" x14ac:dyDescent="0.3">
      <c r="A14" s="51" t="s">
        <v>65</v>
      </c>
      <c r="B14" s="52"/>
      <c r="C14" s="52"/>
      <c r="D14" s="52"/>
      <c r="E14" s="52"/>
    </row>
    <row r="15" spans="1:5" ht="8.1" customHeight="1" x14ac:dyDescent="0.3">
      <c r="A15" s="32"/>
    </row>
    <row r="16" spans="1:5" ht="20.100000000000001" customHeight="1" x14ac:dyDescent="0.3">
      <c r="A16" s="58" t="s">
        <v>55</v>
      </c>
      <c r="B16" s="58"/>
      <c r="C16" s="58"/>
      <c r="D16" s="58" t="s">
        <v>84</v>
      </c>
      <c r="E16" s="58"/>
    </row>
    <row r="17" spans="1:5" ht="48" customHeight="1" x14ac:dyDescent="0.3">
      <c r="A17" s="59" t="s">
        <v>83</v>
      </c>
      <c r="B17" s="59"/>
      <c r="C17" s="59"/>
      <c r="D17" s="59" t="s">
        <v>101</v>
      </c>
      <c r="E17" s="59"/>
    </row>
    <row r="19" spans="1:5" ht="16.5" x14ac:dyDescent="0.3">
      <c r="A19" s="51" t="s">
        <v>66</v>
      </c>
      <c r="B19" s="52"/>
      <c r="C19" s="52"/>
      <c r="D19" s="52"/>
      <c r="E19" s="52"/>
    </row>
    <row r="20" spans="1:5" ht="32.1" customHeight="1" x14ac:dyDescent="0.3">
      <c r="A20" s="55" t="s">
        <v>90</v>
      </c>
      <c r="B20" s="55"/>
      <c r="C20" s="55"/>
      <c r="D20" s="55"/>
      <c r="E20" s="55"/>
    </row>
    <row r="22" spans="1:5" x14ac:dyDescent="0.3">
      <c r="A22" s="53" t="s">
        <v>85</v>
      </c>
      <c r="B22" s="53"/>
      <c r="C22" s="53"/>
      <c r="D22" s="53"/>
      <c r="E22" s="53"/>
    </row>
    <row r="23" spans="1:5" x14ac:dyDescent="0.3">
      <c r="A23" s="53" t="s">
        <v>86</v>
      </c>
      <c r="B23" s="54"/>
      <c r="C23" s="54"/>
      <c r="D23" s="54"/>
      <c r="E23" s="54"/>
    </row>
    <row r="24" spans="1:5" x14ac:dyDescent="0.3">
      <c r="A24" s="53" t="s">
        <v>87</v>
      </c>
      <c r="B24" s="54"/>
      <c r="C24" s="54"/>
      <c r="D24" s="54"/>
      <c r="E24" s="54"/>
    </row>
    <row r="25" spans="1:5" x14ac:dyDescent="0.3">
      <c r="A25" s="53" t="s">
        <v>88</v>
      </c>
      <c r="B25" s="54"/>
      <c r="C25" s="54"/>
      <c r="D25" s="54"/>
      <c r="E25" s="54"/>
    </row>
    <row r="26" spans="1:5" x14ac:dyDescent="0.3">
      <c r="A26" s="53" t="s">
        <v>106</v>
      </c>
      <c r="B26" s="54"/>
      <c r="C26" s="54"/>
      <c r="D26" s="54"/>
      <c r="E26" s="54"/>
    </row>
    <row r="27" spans="1:5" x14ac:dyDescent="0.3">
      <c r="A27" s="53" t="s">
        <v>89</v>
      </c>
      <c r="B27" s="54"/>
      <c r="C27" s="54"/>
      <c r="D27" s="54"/>
      <c r="E27" s="54"/>
    </row>
    <row r="28" spans="1:5" x14ac:dyDescent="0.3">
      <c r="A28" s="33" t="s">
        <v>56</v>
      </c>
    </row>
    <row r="29" spans="1:5" ht="16.5" x14ac:dyDescent="0.3">
      <c r="A29" s="51" t="s">
        <v>67</v>
      </c>
      <c r="B29" s="52"/>
      <c r="C29" s="52"/>
      <c r="D29" s="52"/>
      <c r="E29" s="52"/>
    </row>
    <row r="30" spans="1:5" ht="48" customHeight="1" x14ac:dyDescent="0.3">
      <c r="A30" s="55" t="s">
        <v>91</v>
      </c>
      <c r="B30" s="55"/>
      <c r="C30" s="55"/>
      <c r="D30" s="55"/>
      <c r="E30" s="55"/>
    </row>
    <row r="31" spans="1:5" x14ac:dyDescent="0.3">
      <c r="A31" s="34"/>
      <c r="B31" s="35"/>
    </row>
    <row r="33" spans="1:5" ht="17.25" x14ac:dyDescent="0.3">
      <c r="A33" s="38" t="s">
        <v>68</v>
      </c>
      <c r="B33" s="4"/>
      <c r="C33" s="4"/>
      <c r="D33" s="4"/>
      <c r="E33" s="4"/>
    </row>
    <row r="35" spans="1:5" ht="48" customHeight="1" x14ac:dyDescent="0.3">
      <c r="A35" s="55" t="s">
        <v>128</v>
      </c>
      <c r="B35" s="55"/>
      <c r="C35" s="55"/>
      <c r="D35" s="55"/>
      <c r="E35" s="55"/>
    </row>
    <row r="37" spans="1:5" ht="16.5" x14ac:dyDescent="0.3">
      <c r="A37" s="51" t="s">
        <v>69</v>
      </c>
      <c r="B37" s="52"/>
      <c r="C37" s="52"/>
      <c r="D37" s="52"/>
      <c r="E37" s="52"/>
    </row>
    <row r="38" spans="1:5" x14ac:dyDescent="0.3">
      <c r="A38" s="53" t="s">
        <v>125</v>
      </c>
      <c r="B38" s="53"/>
      <c r="C38" s="53"/>
      <c r="D38" s="53"/>
      <c r="E38" s="53"/>
    </row>
    <row r="40" spans="1:5" ht="16.5" x14ac:dyDescent="0.3">
      <c r="A40" s="51" t="s">
        <v>70</v>
      </c>
      <c r="B40" s="52"/>
      <c r="C40" s="52"/>
      <c r="D40" s="52"/>
      <c r="E40" s="52"/>
    </row>
    <row r="41" spans="1:5" x14ac:dyDescent="0.3">
      <c r="A41" s="56" t="s">
        <v>92</v>
      </c>
      <c r="B41" s="56"/>
      <c r="C41" s="56"/>
      <c r="D41" s="56"/>
      <c r="E41" s="56"/>
    </row>
    <row r="43" spans="1:5" ht="16.5" x14ac:dyDescent="0.3">
      <c r="A43" s="51" t="s">
        <v>71</v>
      </c>
      <c r="B43" s="52"/>
      <c r="C43" s="52"/>
      <c r="D43" s="52"/>
      <c r="E43" s="52"/>
    </row>
    <row r="44" spans="1:5" ht="32.1" customHeight="1" x14ac:dyDescent="0.3">
      <c r="A44" s="55" t="s">
        <v>93</v>
      </c>
      <c r="B44" s="55"/>
      <c r="C44" s="55"/>
      <c r="D44" s="55"/>
      <c r="E44" s="55"/>
    </row>
    <row r="46" spans="1:5" x14ac:dyDescent="0.3">
      <c r="A46" s="56" t="s">
        <v>94</v>
      </c>
      <c r="B46" s="54"/>
      <c r="C46" s="54"/>
      <c r="D46" s="54"/>
      <c r="E46" s="54"/>
    </row>
    <row r="47" spans="1:5" x14ac:dyDescent="0.3">
      <c r="A47" s="56" t="s">
        <v>86</v>
      </c>
      <c r="B47" s="54"/>
      <c r="C47" s="54"/>
      <c r="D47" s="54"/>
      <c r="E47" s="54"/>
    </row>
    <row r="48" spans="1:5" x14ac:dyDescent="0.3">
      <c r="A48" s="56" t="s">
        <v>95</v>
      </c>
      <c r="B48" s="54"/>
      <c r="C48" s="54"/>
      <c r="D48" s="54"/>
      <c r="E48" s="54"/>
    </row>
    <row r="49" spans="1:5" x14ac:dyDescent="0.3">
      <c r="A49" s="56" t="s">
        <v>88</v>
      </c>
      <c r="B49" s="54"/>
      <c r="C49" s="54"/>
      <c r="D49" s="54"/>
      <c r="E49" s="54"/>
    </row>
    <row r="50" spans="1:5" x14ac:dyDescent="0.3">
      <c r="A50" s="56" t="s">
        <v>106</v>
      </c>
      <c r="B50" s="54"/>
      <c r="C50" s="54"/>
      <c r="D50" s="54"/>
      <c r="E50" s="54"/>
    </row>
    <row r="51" spans="1:5" x14ac:dyDescent="0.3">
      <c r="A51" s="56" t="s">
        <v>89</v>
      </c>
      <c r="B51" s="56"/>
      <c r="C51" s="56"/>
      <c r="D51" s="56"/>
      <c r="E51" s="56"/>
    </row>
    <row r="53" spans="1:5" ht="16.5" x14ac:dyDescent="0.3">
      <c r="A53" s="51" t="s">
        <v>72</v>
      </c>
      <c r="B53" s="52"/>
      <c r="C53" s="52"/>
      <c r="D53" s="52"/>
      <c r="E53" s="52"/>
    </row>
    <row r="54" spans="1:5" ht="48" customHeight="1" x14ac:dyDescent="0.3">
      <c r="A54" s="55" t="s">
        <v>96</v>
      </c>
      <c r="B54" s="55"/>
      <c r="C54" s="55"/>
      <c r="D54" s="55"/>
      <c r="E54" s="55"/>
    </row>
    <row r="57" spans="1:5" ht="17.25" x14ac:dyDescent="0.3">
      <c r="A57" s="38" t="s">
        <v>73</v>
      </c>
      <c r="B57" s="4"/>
      <c r="C57" s="4"/>
      <c r="D57" s="4"/>
      <c r="E57" s="4"/>
    </row>
    <row r="58" spans="1:5" x14ac:dyDescent="0.3">
      <c r="A58" s="12"/>
    </row>
    <row r="59" spans="1:5" ht="16.5" x14ac:dyDescent="0.3">
      <c r="A59" s="51" t="s">
        <v>74</v>
      </c>
      <c r="B59" s="52"/>
      <c r="C59" s="52"/>
      <c r="D59" s="52"/>
      <c r="E59" s="52"/>
    </row>
    <row r="60" spans="1:5" ht="32.1" customHeight="1" x14ac:dyDescent="0.3">
      <c r="A60" s="55" t="s">
        <v>129</v>
      </c>
      <c r="B60" s="55"/>
      <c r="C60" s="55"/>
      <c r="D60" s="55"/>
      <c r="E60" s="55"/>
    </row>
    <row r="61" spans="1:5" ht="8.1" customHeight="1" x14ac:dyDescent="0.3"/>
    <row r="62" spans="1:5" ht="20.100000000000001" customHeight="1" x14ac:dyDescent="0.3">
      <c r="A62" s="2" t="s">
        <v>57</v>
      </c>
      <c r="B62" s="2" t="s">
        <v>58</v>
      </c>
      <c r="C62" s="2" t="s">
        <v>107</v>
      </c>
      <c r="D62" s="2" t="s">
        <v>75</v>
      </c>
      <c r="E62" s="2" t="s">
        <v>76</v>
      </c>
    </row>
    <row r="63" spans="1:5" ht="72" customHeight="1" x14ac:dyDescent="0.3">
      <c r="A63" s="36" t="s">
        <v>99</v>
      </c>
      <c r="B63" s="37" t="s">
        <v>59</v>
      </c>
      <c r="C63" s="37" t="s">
        <v>60</v>
      </c>
      <c r="D63" s="36" t="s">
        <v>100</v>
      </c>
      <c r="E63" s="37" t="s">
        <v>77</v>
      </c>
    </row>
    <row r="64" spans="1:5" ht="20.100000000000001" customHeight="1" x14ac:dyDescent="0.3">
      <c r="A64" s="37" t="s">
        <v>78</v>
      </c>
      <c r="B64" s="37" t="s">
        <v>61</v>
      </c>
      <c r="C64" s="37" t="s">
        <v>62</v>
      </c>
      <c r="D64" s="37" t="s">
        <v>79</v>
      </c>
      <c r="E64" s="37" t="s">
        <v>77</v>
      </c>
    </row>
    <row r="65" spans="1:5" ht="32.1" customHeight="1" x14ac:dyDescent="0.3">
      <c r="A65" s="37" t="s">
        <v>80</v>
      </c>
      <c r="B65" s="37" t="s">
        <v>98</v>
      </c>
      <c r="C65" s="36" t="s">
        <v>97</v>
      </c>
      <c r="D65" s="37" t="s">
        <v>81</v>
      </c>
      <c r="E65" s="36" t="s">
        <v>108</v>
      </c>
    </row>
    <row r="67" spans="1:5" ht="16.5" x14ac:dyDescent="0.3">
      <c r="A67" s="51" t="s">
        <v>82</v>
      </c>
      <c r="B67" s="52"/>
      <c r="C67" s="52"/>
      <c r="D67" s="52"/>
      <c r="E67" s="52"/>
    </row>
    <row r="68" spans="1:5" ht="32.1" customHeight="1" x14ac:dyDescent="0.3">
      <c r="A68" s="55" t="s">
        <v>102</v>
      </c>
      <c r="B68" s="53"/>
      <c r="C68" s="53"/>
      <c r="D68" s="53"/>
      <c r="E68" s="53"/>
    </row>
    <row r="70" spans="1:5" ht="16.5" x14ac:dyDescent="0.3">
      <c r="A70" s="51" t="s">
        <v>67</v>
      </c>
      <c r="B70" s="52"/>
      <c r="C70" s="52"/>
      <c r="D70" s="52"/>
      <c r="E70" s="52"/>
    </row>
    <row r="71" spans="1:5" ht="48" customHeight="1" x14ac:dyDescent="0.3">
      <c r="A71" s="55" t="s">
        <v>103</v>
      </c>
      <c r="B71" s="53"/>
      <c r="C71" s="53"/>
      <c r="D71" s="53"/>
      <c r="E71" s="53"/>
    </row>
    <row r="74" spans="1:5" ht="17.25" x14ac:dyDescent="0.3">
      <c r="A74" s="38" t="s">
        <v>116</v>
      </c>
      <c r="B74" s="4"/>
      <c r="C74" s="4"/>
      <c r="D74" s="4"/>
      <c r="E74" s="4"/>
    </row>
    <row r="75" spans="1:5" x14ac:dyDescent="0.3">
      <c r="A75" s="12"/>
    </row>
    <row r="76" spans="1:5" ht="16.5" x14ac:dyDescent="0.3">
      <c r="A76" s="51" t="s">
        <v>118</v>
      </c>
      <c r="B76" s="51"/>
      <c r="C76" s="51"/>
      <c r="D76" s="51"/>
      <c r="E76" s="51"/>
    </row>
    <row r="77" spans="1:5" x14ac:dyDescent="0.3">
      <c r="A77" s="56" t="s">
        <v>117</v>
      </c>
      <c r="B77" s="54"/>
      <c r="C77" s="54"/>
      <c r="D77" s="54"/>
      <c r="E77" s="54"/>
    </row>
    <row r="78" spans="1:5" x14ac:dyDescent="0.3">
      <c r="A78" s="56" t="s">
        <v>114</v>
      </c>
      <c r="B78" s="54"/>
      <c r="C78" s="54"/>
      <c r="D78" s="54"/>
      <c r="E78" s="54"/>
    </row>
    <row r="79" spans="1:5" x14ac:dyDescent="0.3">
      <c r="A79" s="56" t="s">
        <v>112</v>
      </c>
      <c r="B79" s="54"/>
      <c r="C79" s="54"/>
      <c r="D79" s="54"/>
      <c r="E79" s="54"/>
    </row>
    <row r="80" spans="1:5" x14ac:dyDescent="0.3">
      <c r="A80" s="56" t="s">
        <v>113</v>
      </c>
      <c r="B80" s="54"/>
      <c r="C80" s="54"/>
      <c r="D80" s="54"/>
      <c r="E80" s="54"/>
    </row>
    <row r="81" spans="1:5" x14ac:dyDescent="0.3">
      <c r="A81" s="56" t="s">
        <v>115</v>
      </c>
      <c r="B81" s="56"/>
      <c r="C81" s="56"/>
      <c r="D81" s="56"/>
      <c r="E81" s="56"/>
    </row>
    <row r="83" spans="1:5" ht="16.5" x14ac:dyDescent="0.3">
      <c r="A83" s="51" t="s">
        <v>111</v>
      </c>
      <c r="B83" s="51"/>
      <c r="C83" s="51"/>
      <c r="D83" s="51"/>
      <c r="E83" s="51"/>
    </row>
    <row r="84" spans="1:5" ht="15.95" customHeight="1" x14ac:dyDescent="0.3">
      <c r="A84" s="55" t="s">
        <v>120</v>
      </c>
      <c r="B84" s="55"/>
      <c r="C84" s="55"/>
      <c r="D84" s="55"/>
      <c r="E84" s="55"/>
    </row>
    <row r="85" spans="1:5" ht="15.95" customHeight="1" x14ac:dyDescent="0.3">
      <c r="A85" s="55" t="s">
        <v>119</v>
      </c>
      <c r="B85" s="55"/>
      <c r="C85" s="55"/>
      <c r="D85" s="55"/>
      <c r="E85" s="55"/>
    </row>
    <row r="86" spans="1:5" ht="15.95" customHeight="1" x14ac:dyDescent="0.3">
      <c r="A86" s="55" t="s">
        <v>123</v>
      </c>
      <c r="B86" s="55"/>
      <c r="C86" s="55"/>
      <c r="D86" s="55"/>
      <c r="E86" s="55"/>
    </row>
    <row r="88" spans="1:5" ht="16.5" x14ac:dyDescent="0.3">
      <c r="A88" s="51" t="s">
        <v>124</v>
      </c>
      <c r="B88" s="51"/>
      <c r="C88" s="51"/>
      <c r="D88" s="51"/>
      <c r="E88" s="51"/>
    </row>
  </sheetData>
  <sheetProtection algorithmName="SHA-512" hashValue="tRGMaTvjTV1JpiYAbDYko87MAazMzhqeMcYkcWgVThrxgeWPaGNzgnCaHjjfklatiqctr0VLOunUS3UghuwICg==" saltValue="8AvATD3BcdUucGtFRcD18Q==" spinCount="100000" sheet="1" objects="1" scenarios="1"/>
  <mergeCells count="50">
    <mergeCell ref="A26:E26"/>
    <mergeCell ref="A27:E27"/>
    <mergeCell ref="A4:E4"/>
    <mergeCell ref="A2:E2"/>
    <mergeCell ref="A19:E19"/>
    <mergeCell ref="A14:E14"/>
    <mergeCell ref="A22:E22"/>
    <mergeCell ref="A23:E23"/>
    <mergeCell ref="A24:E24"/>
    <mergeCell ref="A12:E12"/>
    <mergeCell ref="D16:E16"/>
    <mergeCell ref="D17:E17"/>
    <mergeCell ref="A17:C17"/>
    <mergeCell ref="A16:C16"/>
    <mergeCell ref="A20:E20"/>
    <mergeCell ref="A78:E78"/>
    <mergeCell ref="A77:E77"/>
    <mergeCell ref="A88:E88"/>
    <mergeCell ref="A83:E83"/>
    <mergeCell ref="A76:E76"/>
    <mergeCell ref="A85:E85"/>
    <mergeCell ref="A84:E84"/>
    <mergeCell ref="A86:E86"/>
    <mergeCell ref="A81:E81"/>
    <mergeCell ref="A80:E80"/>
    <mergeCell ref="A79:E79"/>
    <mergeCell ref="A38:E38"/>
    <mergeCell ref="A41:E41"/>
    <mergeCell ref="A51:E51"/>
    <mergeCell ref="A50:E50"/>
    <mergeCell ref="A49:E49"/>
    <mergeCell ref="A48:E48"/>
    <mergeCell ref="A47:E47"/>
    <mergeCell ref="A46:E46"/>
    <mergeCell ref="A29:E29"/>
    <mergeCell ref="A25:E25"/>
    <mergeCell ref="A71:E71"/>
    <mergeCell ref="A68:E68"/>
    <mergeCell ref="A54:E54"/>
    <mergeCell ref="A44:E44"/>
    <mergeCell ref="A35:E35"/>
    <mergeCell ref="A70:E70"/>
    <mergeCell ref="A67:E67"/>
    <mergeCell ref="A59:E59"/>
    <mergeCell ref="A53:E53"/>
    <mergeCell ref="A43:E43"/>
    <mergeCell ref="A40:E40"/>
    <mergeCell ref="A37:E37"/>
    <mergeCell ref="A30:E30"/>
    <mergeCell ref="A60:E60"/>
  </mergeCells>
  <phoneticPr fontId="2" type="noConversion"/>
  <dataValidations count="1">
    <dataValidation type="list" allowBlank="1" showInputMessage="1" showErrorMessage="1" sqref="E6" xr:uid="{00000000-0002-0000-0000-000000000000}">
      <formula1>"동의, 미동의"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r:id="rId1"/>
  <rowBreaks count="1" manualBreakCount="1">
    <brk id="55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9CC8"/>
  </sheetPr>
  <dimension ref="A1:J201"/>
  <sheetViews>
    <sheetView tabSelected="1" view="pageBreakPreview" topLeftCell="A148" zoomScaleNormal="100" zoomScaleSheetLayoutView="100" workbookViewId="0">
      <selection activeCell="E6" sqref="E6:F6"/>
    </sheetView>
  </sheetViews>
  <sheetFormatPr defaultColWidth="9" defaultRowHeight="13.5" x14ac:dyDescent="0.3"/>
  <cols>
    <col min="1" max="8" width="14.625" style="1" customWidth="1"/>
    <col min="9" max="10" width="0" style="1" hidden="1" customWidth="1"/>
    <col min="11" max="16384" width="9" style="1"/>
  </cols>
  <sheetData>
    <row r="1" spans="1:10" x14ac:dyDescent="0.3">
      <c r="I1" s="11" t="s">
        <v>130</v>
      </c>
      <c r="J1" s="11" t="s">
        <v>140</v>
      </c>
    </row>
    <row r="2" spans="1:10" ht="20.25" x14ac:dyDescent="0.3">
      <c r="A2" s="5" t="s">
        <v>122</v>
      </c>
      <c r="B2" s="4"/>
      <c r="C2" s="4"/>
      <c r="D2" s="4"/>
      <c r="E2" s="4"/>
      <c r="F2" s="4"/>
      <c r="G2" s="4"/>
      <c r="H2" s="4"/>
      <c r="I2" s="11" t="s">
        <v>131</v>
      </c>
      <c r="J2" s="11" t="s">
        <v>141</v>
      </c>
    </row>
    <row r="3" spans="1:10" x14ac:dyDescent="0.3">
      <c r="I3" s="11" t="s">
        <v>132</v>
      </c>
      <c r="J3" s="11" t="s">
        <v>142</v>
      </c>
    </row>
    <row r="4" spans="1:10" ht="18" customHeight="1" thickBot="1" x14ac:dyDescent="0.25">
      <c r="A4" s="6" t="s">
        <v>38</v>
      </c>
      <c r="G4" s="50" t="s">
        <v>158</v>
      </c>
      <c r="I4" s="11" t="s">
        <v>133</v>
      </c>
      <c r="J4" s="11" t="s">
        <v>143</v>
      </c>
    </row>
    <row r="5" spans="1:10" ht="18" customHeight="1" x14ac:dyDescent="0.3">
      <c r="A5" s="87" t="s">
        <v>33</v>
      </c>
      <c r="B5" s="88"/>
      <c r="C5" s="48" t="s">
        <v>5</v>
      </c>
      <c r="D5" s="48" t="s">
        <v>35</v>
      </c>
      <c r="E5" s="66" t="s">
        <v>36</v>
      </c>
      <c r="F5" s="68"/>
      <c r="G5" s="47" t="s">
        <v>146</v>
      </c>
      <c r="H5" s="18" t="s">
        <v>37</v>
      </c>
      <c r="I5" s="11" t="s">
        <v>134</v>
      </c>
      <c r="J5" s="11" t="s">
        <v>144</v>
      </c>
    </row>
    <row r="6" spans="1:10" ht="18" customHeight="1" thickBot="1" x14ac:dyDescent="0.35">
      <c r="A6" s="89" t="s">
        <v>149</v>
      </c>
      <c r="B6" s="90"/>
      <c r="C6" s="49" t="s">
        <v>34</v>
      </c>
      <c r="D6" s="49" t="s">
        <v>160</v>
      </c>
      <c r="E6" s="84" t="s">
        <v>197</v>
      </c>
      <c r="F6" s="83"/>
      <c r="G6" s="46">
        <v>3600</v>
      </c>
      <c r="H6" s="22"/>
      <c r="I6" s="11" t="s">
        <v>136</v>
      </c>
      <c r="J6" s="11"/>
    </row>
    <row r="7" spans="1:10" x14ac:dyDescent="0.3">
      <c r="G7" s="43"/>
      <c r="H7" s="43"/>
      <c r="I7" s="11" t="s">
        <v>137</v>
      </c>
      <c r="J7" s="11"/>
    </row>
    <row r="8" spans="1:10" ht="18" customHeight="1" thickBot="1" x14ac:dyDescent="0.35">
      <c r="A8" s="6" t="s">
        <v>159</v>
      </c>
      <c r="G8" s="43"/>
      <c r="H8" s="43"/>
      <c r="I8" s="11" t="s">
        <v>135</v>
      </c>
      <c r="J8" s="11"/>
    </row>
    <row r="9" spans="1:10" ht="18" customHeight="1" x14ac:dyDescent="0.3">
      <c r="A9" s="15" t="s">
        <v>0</v>
      </c>
      <c r="B9" s="93" t="s">
        <v>162</v>
      </c>
      <c r="C9" s="94"/>
      <c r="D9" s="14" t="s">
        <v>1</v>
      </c>
      <c r="E9" s="91">
        <v>33743</v>
      </c>
      <c r="F9" s="92"/>
      <c r="G9" s="43"/>
      <c r="H9" s="43"/>
    </row>
    <row r="10" spans="1:10" ht="18" customHeight="1" x14ac:dyDescent="0.3">
      <c r="A10" s="16" t="s">
        <v>51</v>
      </c>
      <c r="B10" s="69" t="s">
        <v>161</v>
      </c>
      <c r="C10" s="70"/>
      <c r="D10" s="2" t="s">
        <v>52</v>
      </c>
      <c r="E10" s="69" t="s">
        <v>163</v>
      </c>
      <c r="F10" s="86"/>
      <c r="G10" s="43"/>
      <c r="H10" s="43"/>
    </row>
    <row r="11" spans="1:10" ht="18" customHeight="1" x14ac:dyDescent="0.3">
      <c r="A11" s="16" t="s">
        <v>2</v>
      </c>
      <c r="B11" s="69" t="s">
        <v>164</v>
      </c>
      <c r="C11" s="70"/>
      <c r="D11" s="2" t="s">
        <v>3</v>
      </c>
      <c r="E11" s="85" t="s">
        <v>165</v>
      </c>
      <c r="F11" s="86"/>
      <c r="G11" s="43"/>
      <c r="H11" s="43"/>
    </row>
    <row r="12" spans="1:10" ht="18" customHeight="1" thickBot="1" x14ac:dyDescent="0.35">
      <c r="A12" s="17" t="s">
        <v>4</v>
      </c>
      <c r="B12" s="84" t="s">
        <v>166</v>
      </c>
      <c r="C12" s="102"/>
      <c r="D12" s="102"/>
      <c r="E12" s="102"/>
      <c r="F12" s="96"/>
      <c r="G12" s="43"/>
      <c r="H12" s="43"/>
    </row>
    <row r="13" spans="1:10" x14ac:dyDescent="0.3">
      <c r="G13" s="43"/>
      <c r="H13" s="43"/>
    </row>
    <row r="14" spans="1:10" ht="18" customHeight="1" thickBot="1" x14ac:dyDescent="0.35">
      <c r="A14" s="6" t="s">
        <v>150</v>
      </c>
      <c r="G14" s="43"/>
      <c r="H14" s="43"/>
    </row>
    <row r="15" spans="1:10" ht="18" customHeight="1" x14ac:dyDescent="0.3">
      <c r="A15" s="15" t="s">
        <v>5</v>
      </c>
      <c r="B15" s="14" t="s">
        <v>50</v>
      </c>
      <c r="C15" s="14" t="s">
        <v>8</v>
      </c>
      <c r="D15" s="14" t="s">
        <v>9</v>
      </c>
      <c r="E15" s="14" t="s">
        <v>47</v>
      </c>
      <c r="F15" s="14" t="s">
        <v>6</v>
      </c>
      <c r="G15" s="14" t="s">
        <v>7</v>
      </c>
      <c r="H15" s="18" t="s">
        <v>10</v>
      </c>
    </row>
    <row r="16" spans="1:10" ht="18" customHeight="1" x14ac:dyDescent="0.3">
      <c r="A16" s="27" t="s">
        <v>39</v>
      </c>
      <c r="B16" s="42" t="s">
        <v>46</v>
      </c>
      <c r="C16" s="8" t="s">
        <v>167</v>
      </c>
      <c r="D16" s="42" t="s">
        <v>46</v>
      </c>
      <c r="E16" s="8" t="s">
        <v>168</v>
      </c>
      <c r="F16" s="10">
        <v>39508</v>
      </c>
      <c r="G16" s="10">
        <v>40210</v>
      </c>
      <c r="H16" s="41" t="s">
        <v>46</v>
      </c>
    </row>
    <row r="17" spans="1:8" ht="18" customHeight="1" x14ac:dyDescent="0.3">
      <c r="A17" s="27" t="s">
        <v>42</v>
      </c>
      <c r="B17" s="8" t="s">
        <v>169</v>
      </c>
      <c r="C17" s="8" t="s">
        <v>170</v>
      </c>
      <c r="D17" s="8" t="s">
        <v>171</v>
      </c>
      <c r="E17" s="8" t="s">
        <v>168</v>
      </c>
      <c r="F17" s="10">
        <v>40969</v>
      </c>
      <c r="G17" s="10">
        <v>43525</v>
      </c>
      <c r="H17" s="19" t="s">
        <v>172</v>
      </c>
    </row>
    <row r="18" spans="1:8" ht="18" customHeight="1" x14ac:dyDescent="0.3">
      <c r="A18" s="27" t="s">
        <v>43</v>
      </c>
      <c r="B18" s="8"/>
      <c r="C18" s="8"/>
      <c r="D18" s="8"/>
      <c r="E18" s="8"/>
      <c r="F18" s="10"/>
      <c r="G18" s="10"/>
      <c r="H18" s="19" t="s">
        <v>41</v>
      </c>
    </row>
    <row r="19" spans="1:8" ht="18" customHeight="1" x14ac:dyDescent="0.3">
      <c r="A19" s="27" t="s">
        <v>44</v>
      </c>
      <c r="B19" s="8"/>
      <c r="C19" s="8"/>
      <c r="D19" s="8"/>
      <c r="E19" s="8"/>
      <c r="F19" s="10"/>
      <c r="G19" s="10"/>
      <c r="H19" s="19" t="s">
        <v>41</v>
      </c>
    </row>
    <row r="20" spans="1:8" ht="18" customHeight="1" thickBot="1" x14ac:dyDescent="0.35">
      <c r="A20" s="28" t="s">
        <v>45</v>
      </c>
      <c r="B20" s="20"/>
      <c r="C20" s="20"/>
      <c r="D20" s="20"/>
      <c r="E20" s="20"/>
      <c r="F20" s="21"/>
      <c r="G20" s="21"/>
      <c r="H20" s="22" t="s">
        <v>41</v>
      </c>
    </row>
    <row r="22" spans="1:8" ht="18" customHeight="1" thickBot="1" x14ac:dyDescent="0.35">
      <c r="A22" s="6" t="s">
        <v>151</v>
      </c>
    </row>
    <row r="23" spans="1:8" ht="18" customHeight="1" x14ac:dyDescent="0.3">
      <c r="A23" s="15" t="s">
        <v>11</v>
      </c>
      <c r="B23" s="14" t="s">
        <v>48</v>
      </c>
      <c r="C23" s="14" t="s">
        <v>12</v>
      </c>
      <c r="D23" s="14" t="s">
        <v>13</v>
      </c>
      <c r="E23" s="14" t="s">
        <v>14</v>
      </c>
      <c r="F23" s="31" t="s">
        <v>109</v>
      </c>
      <c r="G23" s="66" t="s">
        <v>110</v>
      </c>
      <c r="H23" s="67"/>
    </row>
    <row r="24" spans="1:8" ht="18" customHeight="1" x14ac:dyDescent="0.3">
      <c r="A24" s="23" t="s">
        <v>173</v>
      </c>
      <c r="B24" s="8" t="s">
        <v>174</v>
      </c>
      <c r="C24" s="9">
        <v>43563</v>
      </c>
      <c r="D24" s="9">
        <v>44668</v>
      </c>
      <c r="E24" s="8" t="s">
        <v>175</v>
      </c>
      <c r="F24" s="29" t="s">
        <v>176</v>
      </c>
      <c r="G24" s="60" t="s">
        <v>177</v>
      </c>
      <c r="H24" s="61"/>
    </row>
    <row r="25" spans="1:8" ht="18" customHeight="1" x14ac:dyDescent="0.3">
      <c r="A25" s="23"/>
      <c r="B25" s="8"/>
      <c r="C25" s="9"/>
      <c r="D25" s="9"/>
      <c r="E25" s="8"/>
      <c r="F25" s="29"/>
      <c r="G25" s="60"/>
      <c r="H25" s="61"/>
    </row>
    <row r="26" spans="1:8" ht="18" customHeight="1" x14ac:dyDescent="0.3">
      <c r="A26" s="23"/>
      <c r="B26" s="8"/>
      <c r="C26" s="9"/>
      <c r="D26" s="9"/>
      <c r="E26" s="8"/>
      <c r="F26" s="29"/>
      <c r="G26" s="60"/>
      <c r="H26" s="61"/>
    </row>
    <row r="27" spans="1:8" ht="18" customHeight="1" x14ac:dyDescent="0.3">
      <c r="A27" s="23"/>
      <c r="B27" s="8"/>
      <c r="C27" s="9"/>
      <c r="D27" s="9"/>
      <c r="E27" s="8"/>
      <c r="F27" s="29"/>
      <c r="G27" s="60"/>
      <c r="H27" s="61"/>
    </row>
    <row r="28" spans="1:8" ht="18" customHeight="1" x14ac:dyDescent="0.3">
      <c r="A28" s="23"/>
      <c r="B28" s="8"/>
      <c r="C28" s="9"/>
      <c r="D28" s="9"/>
      <c r="E28" s="8"/>
      <c r="F28" s="29"/>
      <c r="G28" s="60"/>
      <c r="H28" s="61"/>
    </row>
    <row r="29" spans="1:8" ht="18" customHeight="1" x14ac:dyDescent="0.3">
      <c r="A29" s="23"/>
      <c r="B29" s="8"/>
      <c r="C29" s="9"/>
      <c r="D29" s="9"/>
      <c r="E29" s="8"/>
      <c r="F29" s="29"/>
      <c r="G29" s="60"/>
      <c r="H29" s="61"/>
    </row>
    <row r="30" spans="1:8" ht="18" customHeight="1" x14ac:dyDescent="0.3">
      <c r="A30" s="23"/>
      <c r="B30" s="8"/>
      <c r="C30" s="9"/>
      <c r="D30" s="9"/>
      <c r="E30" s="8"/>
      <c r="F30" s="29"/>
      <c r="G30" s="60"/>
      <c r="H30" s="61"/>
    </row>
    <row r="31" spans="1:8" ht="18" customHeight="1" x14ac:dyDescent="0.3">
      <c r="A31" s="23"/>
      <c r="B31" s="8"/>
      <c r="C31" s="9"/>
      <c r="D31" s="9"/>
      <c r="E31" s="8"/>
      <c r="F31" s="29"/>
      <c r="G31" s="60"/>
      <c r="H31" s="61"/>
    </row>
    <row r="32" spans="1:8" ht="18" customHeight="1" x14ac:dyDescent="0.3">
      <c r="A32" s="23"/>
      <c r="B32" s="8"/>
      <c r="C32" s="9"/>
      <c r="D32" s="9"/>
      <c r="E32" s="8"/>
      <c r="F32" s="29"/>
      <c r="G32" s="60"/>
      <c r="H32" s="61"/>
    </row>
    <row r="33" spans="1:10" ht="18" customHeight="1" thickBot="1" x14ac:dyDescent="0.35">
      <c r="A33" s="24"/>
      <c r="B33" s="20"/>
      <c r="C33" s="25"/>
      <c r="D33" s="25"/>
      <c r="E33" s="20"/>
      <c r="F33" s="30"/>
      <c r="G33" s="64"/>
      <c r="H33" s="65"/>
      <c r="J33" s="11">
        <f>($D$24-$C$24)+($D$25-$C$25)+($D$26-$C$26)+($D$27-$C$27)+($D$28-$C$28)+($D$29-$C$29)+($D$30-$C$30)+($D$31-$C$31)+($D$32-$C$32)+($D$33-$C$33)</f>
        <v>1105</v>
      </c>
    </row>
    <row r="34" spans="1:10" ht="18" customHeight="1" x14ac:dyDescent="0.3"/>
    <row r="35" spans="1:10" ht="18" customHeight="1" x14ac:dyDescent="0.3">
      <c r="A35" s="3" t="s">
        <v>22</v>
      </c>
      <c r="B35" s="13">
        <f>IFERROR(IF(J33&lt;0,"Error",INT($J$33/365)),"Error")</f>
        <v>3</v>
      </c>
      <c r="C35" s="1" t="s">
        <v>15</v>
      </c>
      <c r="D35" s="13">
        <f>IFERROR(IF(J33&lt;0,"Error",INT(MOD($J$33,365)/30)),"Error")</f>
        <v>0</v>
      </c>
      <c r="E35" s="1" t="s">
        <v>16</v>
      </c>
      <c r="F35" s="12" t="s">
        <v>121</v>
      </c>
    </row>
    <row r="37" spans="1:10" ht="18" customHeight="1" thickBot="1" x14ac:dyDescent="0.35">
      <c r="A37" s="6" t="s">
        <v>152</v>
      </c>
    </row>
    <row r="38" spans="1:10" ht="18" customHeight="1" x14ac:dyDescent="0.3">
      <c r="A38" s="80" t="s">
        <v>53</v>
      </c>
      <c r="B38" s="68"/>
      <c r="C38" s="66" t="s">
        <v>54</v>
      </c>
      <c r="D38" s="68"/>
      <c r="E38" s="66" t="s">
        <v>17</v>
      </c>
      <c r="F38" s="68"/>
      <c r="G38" s="66" t="s">
        <v>49</v>
      </c>
      <c r="H38" s="67"/>
    </row>
    <row r="39" spans="1:10" ht="18" customHeight="1" x14ac:dyDescent="0.3">
      <c r="A39" s="81"/>
      <c r="B39" s="70"/>
      <c r="C39" s="69"/>
      <c r="D39" s="70"/>
      <c r="E39" s="69"/>
      <c r="F39" s="70"/>
      <c r="G39" s="62" t="s">
        <v>40</v>
      </c>
      <c r="H39" s="63"/>
    </row>
    <row r="40" spans="1:10" ht="18" customHeight="1" x14ac:dyDescent="0.3">
      <c r="A40" s="81"/>
      <c r="B40" s="70"/>
      <c r="C40" s="69"/>
      <c r="D40" s="70"/>
      <c r="E40" s="69"/>
      <c r="F40" s="70"/>
      <c r="G40" s="62"/>
      <c r="H40" s="63"/>
    </row>
    <row r="41" spans="1:10" ht="18" customHeight="1" thickBot="1" x14ac:dyDescent="0.35">
      <c r="A41" s="82"/>
      <c r="B41" s="83"/>
      <c r="C41" s="84"/>
      <c r="D41" s="83"/>
      <c r="E41" s="84"/>
      <c r="F41" s="83"/>
      <c r="G41" s="97"/>
      <c r="H41" s="98"/>
    </row>
    <row r="43" spans="1:10" ht="18" customHeight="1" thickBot="1" x14ac:dyDescent="0.35">
      <c r="A43" s="6" t="s">
        <v>153</v>
      </c>
    </row>
    <row r="44" spans="1:10" ht="18" customHeight="1" x14ac:dyDescent="0.3">
      <c r="A44" s="80" t="s">
        <v>18</v>
      </c>
      <c r="B44" s="68"/>
      <c r="C44" s="66" t="s">
        <v>21</v>
      </c>
      <c r="D44" s="68"/>
      <c r="E44" s="66" t="s">
        <v>19</v>
      </c>
      <c r="F44" s="68"/>
      <c r="G44" s="66" t="s">
        <v>20</v>
      </c>
      <c r="H44" s="67"/>
    </row>
    <row r="45" spans="1:10" ht="18" customHeight="1" x14ac:dyDescent="0.3">
      <c r="A45" s="81" t="s">
        <v>185</v>
      </c>
      <c r="B45" s="70"/>
      <c r="C45" s="69"/>
      <c r="D45" s="70"/>
      <c r="E45" s="69" t="s">
        <v>186</v>
      </c>
      <c r="F45" s="70"/>
      <c r="G45" s="62" t="s">
        <v>189</v>
      </c>
      <c r="H45" s="63"/>
    </row>
    <row r="46" spans="1:10" ht="18" customHeight="1" x14ac:dyDescent="0.3">
      <c r="A46" s="81" t="s">
        <v>187</v>
      </c>
      <c r="B46" s="70"/>
      <c r="C46" s="69"/>
      <c r="D46" s="70"/>
      <c r="E46" s="69" t="s">
        <v>188</v>
      </c>
      <c r="F46" s="70"/>
      <c r="G46" s="62" t="s">
        <v>190</v>
      </c>
      <c r="H46" s="63"/>
    </row>
    <row r="47" spans="1:10" ht="18" customHeight="1" thickBot="1" x14ac:dyDescent="0.35">
      <c r="A47" s="82" t="s">
        <v>191</v>
      </c>
      <c r="B47" s="83"/>
      <c r="C47" s="84" t="s">
        <v>192</v>
      </c>
      <c r="D47" s="83"/>
      <c r="E47" s="84" t="s">
        <v>193</v>
      </c>
      <c r="F47" s="83"/>
      <c r="G47" s="97" t="s">
        <v>194</v>
      </c>
      <c r="H47" s="98"/>
    </row>
    <row r="49" spans="1:8" ht="18" customHeight="1" thickBot="1" x14ac:dyDescent="0.35">
      <c r="A49" s="6" t="s">
        <v>154</v>
      </c>
    </row>
    <row r="50" spans="1:8" ht="18" customHeight="1" x14ac:dyDescent="0.3">
      <c r="A50" s="15" t="s">
        <v>23</v>
      </c>
      <c r="B50" s="14" t="s">
        <v>24</v>
      </c>
      <c r="C50" s="18" t="s">
        <v>25</v>
      </c>
      <c r="E50" s="15" t="s">
        <v>26</v>
      </c>
      <c r="F50" s="66" t="s">
        <v>27</v>
      </c>
      <c r="G50" s="68"/>
      <c r="H50" s="18" t="s">
        <v>28</v>
      </c>
    </row>
    <row r="51" spans="1:8" ht="18" customHeight="1" thickBot="1" x14ac:dyDescent="0.35">
      <c r="A51" s="24" t="s">
        <v>178</v>
      </c>
      <c r="B51" s="20"/>
      <c r="C51" s="22"/>
      <c r="E51" s="24" t="s">
        <v>178</v>
      </c>
      <c r="F51" s="84"/>
      <c r="G51" s="83"/>
      <c r="H51" s="22"/>
    </row>
    <row r="52" spans="1:8" x14ac:dyDescent="0.3">
      <c r="A52" s="7" t="str">
        <f>IF(AND($A$51="해당",OR($B$51="",$C$51=""))," ☞ 보훈 번호 및 관계를 입력하여 주십시오.","")</f>
        <v/>
      </c>
      <c r="E52" s="7" t="str">
        <f>IF(AND($E$51="해당",OR($F$51="",$H$51=""))," ☞ 장애 유형 및 등급을 입력하여 주십시오.","")</f>
        <v/>
      </c>
    </row>
    <row r="53" spans="1:8" ht="18" customHeight="1" thickBot="1" x14ac:dyDescent="0.35">
      <c r="A53" s="6" t="s">
        <v>155</v>
      </c>
    </row>
    <row r="54" spans="1:8" ht="18" customHeight="1" x14ac:dyDescent="0.3">
      <c r="A54" s="80" t="s">
        <v>29</v>
      </c>
      <c r="B54" s="68"/>
      <c r="C54" s="66" t="s">
        <v>31</v>
      </c>
      <c r="D54" s="68"/>
      <c r="E54" s="66" t="s">
        <v>32</v>
      </c>
      <c r="F54" s="68"/>
      <c r="G54" s="14" t="s">
        <v>12</v>
      </c>
      <c r="H54" s="18" t="s">
        <v>13</v>
      </c>
    </row>
    <row r="55" spans="1:8" ht="18" customHeight="1" x14ac:dyDescent="0.3">
      <c r="A55" s="81" t="s">
        <v>179</v>
      </c>
      <c r="B55" s="70"/>
      <c r="C55" s="69" t="s">
        <v>180</v>
      </c>
      <c r="D55" s="70"/>
      <c r="E55" s="69" t="s">
        <v>181</v>
      </c>
      <c r="F55" s="70"/>
      <c r="G55" s="9">
        <v>41459</v>
      </c>
      <c r="H55" s="26">
        <v>42098</v>
      </c>
    </row>
    <row r="56" spans="1:8" ht="18" customHeight="1" thickBot="1" x14ac:dyDescent="0.35">
      <c r="A56" s="99" t="s">
        <v>30</v>
      </c>
      <c r="B56" s="100"/>
      <c r="C56" s="64"/>
      <c r="D56" s="101"/>
      <c r="E56" s="101"/>
      <c r="F56" s="101"/>
      <c r="G56" s="101"/>
      <c r="H56" s="65"/>
    </row>
    <row r="58" spans="1:8" ht="17.25" thickBot="1" x14ac:dyDescent="0.35">
      <c r="A58" s="6" t="s">
        <v>156</v>
      </c>
    </row>
    <row r="59" spans="1:8" x14ac:dyDescent="0.3">
      <c r="A59" s="44" t="s">
        <v>138</v>
      </c>
      <c r="B59" s="44" t="s">
        <v>138</v>
      </c>
      <c r="C59" s="44" t="s">
        <v>138</v>
      </c>
      <c r="D59" s="44" t="s">
        <v>138</v>
      </c>
      <c r="E59" s="44" t="s">
        <v>138</v>
      </c>
      <c r="F59" s="44" t="s">
        <v>138</v>
      </c>
      <c r="G59" s="66" t="s">
        <v>139</v>
      </c>
      <c r="H59" s="67"/>
    </row>
    <row r="60" spans="1:8" ht="14.25" thickBot="1" x14ac:dyDescent="0.35">
      <c r="A60" s="24" t="s">
        <v>182</v>
      </c>
      <c r="B60" s="20"/>
      <c r="C60" s="20"/>
      <c r="D60" s="20"/>
      <c r="E60" s="20"/>
      <c r="F60" s="20"/>
      <c r="G60" s="69"/>
      <c r="H60" s="86"/>
    </row>
    <row r="61" spans="1:8" x14ac:dyDescent="0.3">
      <c r="A61" s="44" t="s">
        <v>145</v>
      </c>
      <c r="B61" s="44" t="s">
        <v>145</v>
      </c>
      <c r="C61" s="44" t="s">
        <v>145</v>
      </c>
      <c r="D61" s="44" t="s">
        <v>145</v>
      </c>
      <c r="E61" s="44" t="s">
        <v>145</v>
      </c>
      <c r="F61" s="44" t="s">
        <v>145</v>
      </c>
      <c r="G61" s="66" t="s">
        <v>139</v>
      </c>
      <c r="H61" s="67"/>
    </row>
    <row r="62" spans="1:8" ht="14.25" thickBot="1" x14ac:dyDescent="0.35">
      <c r="A62" s="24" t="s">
        <v>183</v>
      </c>
      <c r="B62" s="20" t="s">
        <v>184</v>
      </c>
      <c r="C62" s="20"/>
      <c r="D62" s="20"/>
      <c r="E62" s="20"/>
      <c r="F62" s="20"/>
      <c r="G62" s="84"/>
      <c r="H62" s="96"/>
    </row>
    <row r="63" spans="1:8" x14ac:dyDescent="0.3">
      <c r="G63" s="45"/>
      <c r="H63" s="45"/>
    </row>
    <row r="64" spans="1:8" x14ac:dyDescent="0.3">
      <c r="A64" s="95" t="s">
        <v>157</v>
      </c>
      <c r="B64" s="95"/>
      <c r="C64" s="95"/>
      <c r="D64" s="95"/>
      <c r="E64" s="95"/>
      <c r="F64" s="95"/>
      <c r="G64" s="95"/>
      <c r="H64" s="95"/>
    </row>
    <row r="65" spans="1:8" x14ac:dyDescent="0.3">
      <c r="G65" s="45"/>
      <c r="H65" s="45"/>
    </row>
    <row r="66" spans="1:8" x14ac:dyDescent="0.3">
      <c r="G66" s="45"/>
      <c r="H66" s="45"/>
    </row>
    <row r="67" spans="1:8" ht="18" customHeight="1" thickBot="1" x14ac:dyDescent="0.35">
      <c r="A67" s="32" t="s">
        <v>147</v>
      </c>
    </row>
    <row r="68" spans="1:8" ht="15.95" customHeight="1" x14ac:dyDescent="0.3">
      <c r="A68" s="71" t="s">
        <v>195</v>
      </c>
      <c r="B68" s="72"/>
      <c r="C68" s="72"/>
      <c r="D68" s="72"/>
      <c r="E68" s="72"/>
      <c r="F68" s="72"/>
      <c r="G68" s="72"/>
      <c r="H68" s="73"/>
    </row>
    <row r="69" spans="1:8" ht="15.95" customHeight="1" x14ac:dyDescent="0.3">
      <c r="A69" s="74"/>
      <c r="B69" s="75"/>
      <c r="C69" s="75"/>
      <c r="D69" s="75"/>
      <c r="E69" s="75"/>
      <c r="F69" s="75"/>
      <c r="G69" s="75"/>
      <c r="H69" s="76"/>
    </row>
    <row r="70" spans="1:8" ht="15.95" customHeight="1" x14ac:dyDescent="0.3">
      <c r="A70" s="74"/>
      <c r="B70" s="75"/>
      <c r="C70" s="75"/>
      <c r="D70" s="75"/>
      <c r="E70" s="75"/>
      <c r="F70" s="75"/>
      <c r="G70" s="75"/>
      <c r="H70" s="76"/>
    </row>
    <row r="71" spans="1:8" ht="15.95" customHeight="1" x14ac:dyDescent="0.3">
      <c r="A71" s="74"/>
      <c r="B71" s="75"/>
      <c r="C71" s="75"/>
      <c r="D71" s="75"/>
      <c r="E71" s="75"/>
      <c r="F71" s="75"/>
      <c r="G71" s="75"/>
      <c r="H71" s="76"/>
    </row>
    <row r="72" spans="1:8" ht="15.95" customHeight="1" x14ac:dyDescent="0.3">
      <c r="A72" s="74"/>
      <c r="B72" s="75"/>
      <c r="C72" s="75"/>
      <c r="D72" s="75"/>
      <c r="E72" s="75"/>
      <c r="F72" s="75"/>
      <c r="G72" s="75"/>
      <c r="H72" s="76"/>
    </row>
    <row r="73" spans="1:8" ht="15.95" customHeight="1" x14ac:dyDescent="0.3">
      <c r="A73" s="74"/>
      <c r="B73" s="75"/>
      <c r="C73" s="75"/>
      <c r="D73" s="75"/>
      <c r="E73" s="75"/>
      <c r="F73" s="75"/>
      <c r="G73" s="75"/>
      <c r="H73" s="76"/>
    </row>
    <row r="74" spans="1:8" ht="15.95" customHeight="1" x14ac:dyDescent="0.3">
      <c r="A74" s="74"/>
      <c r="B74" s="75"/>
      <c r="C74" s="75"/>
      <c r="D74" s="75"/>
      <c r="E74" s="75"/>
      <c r="F74" s="75"/>
      <c r="G74" s="75"/>
      <c r="H74" s="76"/>
    </row>
    <row r="75" spans="1:8" ht="15.95" customHeight="1" x14ac:dyDescent="0.3">
      <c r="A75" s="74"/>
      <c r="B75" s="75"/>
      <c r="C75" s="75"/>
      <c r="D75" s="75"/>
      <c r="E75" s="75"/>
      <c r="F75" s="75"/>
      <c r="G75" s="75"/>
      <c r="H75" s="76"/>
    </row>
    <row r="76" spans="1:8" ht="15.95" customHeight="1" x14ac:dyDescent="0.3">
      <c r="A76" s="74"/>
      <c r="B76" s="75"/>
      <c r="C76" s="75"/>
      <c r="D76" s="75"/>
      <c r="E76" s="75"/>
      <c r="F76" s="75"/>
      <c r="G76" s="75"/>
      <c r="H76" s="76"/>
    </row>
    <row r="77" spans="1:8" ht="15.95" customHeight="1" x14ac:dyDescent="0.3">
      <c r="A77" s="74"/>
      <c r="B77" s="75"/>
      <c r="C77" s="75"/>
      <c r="D77" s="75"/>
      <c r="E77" s="75"/>
      <c r="F77" s="75"/>
      <c r="G77" s="75"/>
      <c r="H77" s="76"/>
    </row>
    <row r="78" spans="1:8" ht="15.95" customHeight="1" x14ac:dyDescent="0.3">
      <c r="A78" s="74"/>
      <c r="B78" s="75"/>
      <c r="C78" s="75"/>
      <c r="D78" s="75"/>
      <c r="E78" s="75"/>
      <c r="F78" s="75"/>
      <c r="G78" s="75"/>
      <c r="H78" s="76"/>
    </row>
    <row r="79" spans="1:8" ht="15.95" customHeight="1" x14ac:dyDescent="0.3">
      <c r="A79" s="74"/>
      <c r="B79" s="75"/>
      <c r="C79" s="75"/>
      <c r="D79" s="75"/>
      <c r="E79" s="75"/>
      <c r="F79" s="75"/>
      <c r="G79" s="75"/>
      <c r="H79" s="76"/>
    </row>
    <row r="80" spans="1:8" ht="15.95" customHeight="1" x14ac:dyDescent="0.3">
      <c r="A80" s="74"/>
      <c r="B80" s="75"/>
      <c r="C80" s="75"/>
      <c r="D80" s="75"/>
      <c r="E80" s="75"/>
      <c r="F80" s="75"/>
      <c r="G80" s="75"/>
      <c r="H80" s="76"/>
    </row>
    <row r="81" spans="1:8" ht="15.95" customHeight="1" x14ac:dyDescent="0.3">
      <c r="A81" s="74"/>
      <c r="B81" s="75"/>
      <c r="C81" s="75"/>
      <c r="D81" s="75"/>
      <c r="E81" s="75"/>
      <c r="F81" s="75"/>
      <c r="G81" s="75"/>
      <c r="H81" s="76"/>
    </row>
    <row r="82" spans="1:8" ht="15.95" customHeight="1" x14ac:dyDescent="0.3">
      <c r="A82" s="74"/>
      <c r="B82" s="75"/>
      <c r="C82" s="75"/>
      <c r="D82" s="75"/>
      <c r="E82" s="75"/>
      <c r="F82" s="75"/>
      <c r="G82" s="75"/>
      <c r="H82" s="76"/>
    </row>
    <row r="83" spans="1:8" ht="15.95" customHeight="1" x14ac:dyDescent="0.3">
      <c r="A83" s="74"/>
      <c r="B83" s="75"/>
      <c r="C83" s="75"/>
      <c r="D83" s="75"/>
      <c r="E83" s="75"/>
      <c r="F83" s="75"/>
      <c r="G83" s="75"/>
      <c r="H83" s="76"/>
    </row>
    <row r="84" spans="1:8" ht="15.95" customHeight="1" x14ac:dyDescent="0.3">
      <c r="A84" s="74"/>
      <c r="B84" s="75"/>
      <c r="C84" s="75"/>
      <c r="D84" s="75"/>
      <c r="E84" s="75"/>
      <c r="F84" s="75"/>
      <c r="G84" s="75"/>
      <c r="H84" s="76"/>
    </row>
    <row r="85" spans="1:8" ht="15.95" customHeight="1" x14ac:dyDescent="0.3">
      <c r="A85" s="74"/>
      <c r="B85" s="75"/>
      <c r="C85" s="75"/>
      <c r="D85" s="75"/>
      <c r="E85" s="75"/>
      <c r="F85" s="75"/>
      <c r="G85" s="75"/>
      <c r="H85" s="76"/>
    </row>
    <row r="86" spans="1:8" ht="15.95" customHeight="1" x14ac:dyDescent="0.3">
      <c r="A86" s="74"/>
      <c r="B86" s="75"/>
      <c r="C86" s="75"/>
      <c r="D86" s="75"/>
      <c r="E86" s="75"/>
      <c r="F86" s="75"/>
      <c r="G86" s="75"/>
      <c r="H86" s="76"/>
    </row>
    <row r="87" spans="1:8" ht="15.95" customHeight="1" x14ac:dyDescent="0.3">
      <c r="A87" s="74"/>
      <c r="B87" s="75"/>
      <c r="C87" s="75"/>
      <c r="D87" s="75"/>
      <c r="E87" s="75"/>
      <c r="F87" s="75"/>
      <c r="G87" s="75"/>
      <c r="H87" s="76"/>
    </row>
    <row r="88" spans="1:8" ht="15.95" customHeight="1" x14ac:dyDescent="0.3">
      <c r="A88" s="74"/>
      <c r="B88" s="75"/>
      <c r="C88" s="75"/>
      <c r="D88" s="75"/>
      <c r="E88" s="75"/>
      <c r="F88" s="75"/>
      <c r="G88" s="75"/>
      <c r="H88" s="76"/>
    </row>
    <row r="89" spans="1:8" ht="15.95" customHeight="1" x14ac:dyDescent="0.3">
      <c r="A89" s="74"/>
      <c r="B89" s="75"/>
      <c r="C89" s="75"/>
      <c r="D89" s="75"/>
      <c r="E89" s="75"/>
      <c r="F89" s="75"/>
      <c r="G89" s="75"/>
      <c r="H89" s="76"/>
    </row>
    <row r="90" spans="1:8" ht="15.95" customHeight="1" x14ac:dyDescent="0.3">
      <c r="A90" s="74"/>
      <c r="B90" s="75"/>
      <c r="C90" s="75"/>
      <c r="D90" s="75"/>
      <c r="E90" s="75"/>
      <c r="F90" s="75"/>
      <c r="G90" s="75"/>
      <c r="H90" s="76"/>
    </row>
    <row r="91" spans="1:8" ht="15.95" customHeight="1" x14ac:dyDescent="0.3">
      <c r="A91" s="74"/>
      <c r="B91" s="75"/>
      <c r="C91" s="75"/>
      <c r="D91" s="75"/>
      <c r="E91" s="75"/>
      <c r="F91" s="75"/>
      <c r="G91" s="75"/>
      <c r="H91" s="76"/>
    </row>
    <row r="92" spans="1:8" ht="15.95" customHeight="1" x14ac:dyDescent="0.3">
      <c r="A92" s="74"/>
      <c r="B92" s="75"/>
      <c r="C92" s="75"/>
      <c r="D92" s="75"/>
      <c r="E92" s="75"/>
      <c r="F92" s="75"/>
      <c r="G92" s="75"/>
      <c r="H92" s="76"/>
    </row>
    <row r="93" spans="1:8" ht="15.95" customHeight="1" x14ac:dyDescent="0.3">
      <c r="A93" s="74"/>
      <c r="B93" s="75"/>
      <c r="C93" s="75"/>
      <c r="D93" s="75"/>
      <c r="E93" s="75"/>
      <c r="F93" s="75"/>
      <c r="G93" s="75"/>
      <c r="H93" s="76"/>
    </row>
    <row r="94" spans="1:8" ht="15.95" customHeight="1" x14ac:dyDescent="0.3">
      <c r="A94" s="74"/>
      <c r="B94" s="75"/>
      <c r="C94" s="75"/>
      <c r="D94" s="75"/>
      <c r="E94" s="75"/>
      <c r="F94" s="75"/>
      <c r="G94" s="75"/>
      <c r="H94" s="76"/>
    </row>
    <row r="95" spans="1:8" ht="15.95" customHeight="1" x14ac:dyDescent="0.3">
      <c r="A95" s="74"/>
      <c r="B95" s="75"/>
      <c r="C95" s="75"/>
      <c r="D95" s="75"/>
      <c r="E95" s="75"/>
      <c r="F95" s="75"/>
      <c r="G95" s="75"/>
      <c r="H95" s="76"/>
    </row>
    <row r="96" spans="1:8" ht="15.95" customHeight="1" x14ac:dyDescent="0.3">
      <c r="A96" s="74"/>
      <c r="B96" s="75"/>
      <c r="C96" s="75"/>
      <c r="D96" s="75"/>
      <c r="E96" s="75"/>
      <c r="F96" s="75"/>
      <c r="G96" s="75"/>
      <c r="H96" s="76"/>
    </row>
    <row r="97" spans="1:8" ht="15.95" customHeight="1" x14ac:dyDescent="0.3">
      <c r="A97" s="74"/>
      <c r="B97" s="75"/>
      <c r="C97" s="75"/>
      <c r="D97" s="75"/>
      <c r="E97" s="75"/>
      <c r="F97" s="75"/>
      <c r="G97" s="75"/>
      <c r="H97" s="76"/>
    </row>
    <row r="98" spans="1:8" ht="15.95" customHeight="1" x14ac:dyDescent="0.3">
      <c r="A98" s="74"/>
      <c r="B98" s="75"/>
      <c r="C98" s="75"/>
      <c r="D98" s="75"/>
      <c r="E98" s="75"/>
      <c r="F98" s="75"/>
      <c r="G98" s="75"/>
      <c r="H98" s="76"/>
    </row>
    <row r="99" spans="1:8" ht="15.95" customHeight="1" x14ac:dyDescent="0.3">
      <c r="A99" s="74"/>
      <c r="B99" s="75"/>
      <c r="C99" s="75"/>
      <c r="D99" s="75"/>
      <c r="E99" s="75"/>
      <c r="F99" s="75"/>
      <c r="G99" s="75"/>
      <c r="H99" s="76"/>
    </row>
    <row r="100" spans="1:8" ht="15.95" customHeight="1" x14ac:dyDescent="0.3">
      <c r="A100" s="74"/>
      <c r="B100" s="75"/>
      <c r="C100" s="75"/>
      <c r="D100" s="75"/>
      <c r="E100" s="75"/>
      <c r="F100" s="75"/>
      <c r="G100" s="75"/>
      <c r="H100" s="76"/>
    </row>
    <row r="101" spans="1:8" ht="15.95" customHeight="1" x14ac:dyDescent="0.3">
      <c r="A101" s="74"/>
      <c r="B101" s="75"/>
      <c r="C101" s="75"/>
      <c r="D101" s="75"/>
      <c r="E101" s="75"/>
      <c r="F101" s="75"/>
      <c r="G101" s="75"/>
      <c r="H101" s="76"/>
    </row>
    <row r="102" spans="1:8" ht="15.95" customHeight="1" x14ac:dyDescent="0.3">
      <c r="A102" s="74"/>
      <c r="B102" s="75"/>
      <c r="C102" s="75"/>
      <c r="D102" s="75"/>
      <c r="E102" s="75"/>
      <c r="F102" s="75"/>
      <c r="G102" s="75"/>
      <c r="H102" s="76"/>
    </row>
    <row r="103" spans="1:8" ht="15.95" customHeight="1" x14ac:dyDescent="0.3">
      <c r="A103" s="74"/>
      <c r="B103" s="75"/>
      <c r="C103" s="75"/>
      <c r="D103" s="75"/>
      <c r="E103" s="75"/>
      <c r="F103" s="75"/>
      <c r="G103" s="75"/>
      <c r="H103" s="76"/>
    </row>
    <row r="104" spans="1:8" ht="15.95" customHeight="1" x14ac:dyDescent="0.3">
      <c r="A104" s="74"/>
      <c r="B104" s="75"/>
      <c r="C104" s="75"/>
      <c r="D104" s="75"/>
      <c r="E104" s="75"/>
      <c r="F104" s="75"/>
      <c r="G104" s="75"/>
      <c r="H104" s="76"/>
    </row>
    <row r="105" spans="1:8" ht="15.95" customHeight="1" x14ac:dyDescent="0.3">
      <c r="A105" s="74"/>
      <c r="B105" s="75"/>
      <c r="C105" s="75"/>
      <c r="D105" s="75"/>
      <c r="E105" s="75"/>
      <c r="F105" s="75"/>
      <c r="G105" s="75"/>
      <c r="H105" s="76"/>
    </row>
    <row r="106" spans="1:8" ht="15.95" customHeight="1" x14ac:dyDescent="0.3">
      <c r="A106" s="74"/>
      <c r="B106" s="75"/>
      <c r="C106" s="75"/>
      <c r="D106" s="75"/>
      <c r="E106" s="75"/>
      <c r="F106" s="75"/>
      <c r="G106" s="75"/>
      <c r="H106" s="76"/>
    </row>
    <row r="107" spans="1:8" ht="15.95" customHeight="1" x14ac:dyDescent="0.3">
      <c r="A107" s="74"/>
      <c r="B107" s="75"/>
      <c r="C107" s="75"/>
      <c r="D107" s="75"/>
      <c r="E107" s="75"/>
      <c r="F107" s="75"/>
      <c r="G107" s="75"/>
      <c r="H107" s="76"/>
    </row>
    <row r="108" spans="1:8" ht="15.95" customHeight="1" x14ac:dyDescent="0.3">
      <c r="A108" s="74"/>
      <c r="B108" s="75"/>
      <c r="C108" s="75"/>
      <c r="D108" s="75"/>
      <c r="E108" s="75"/>
      <c r="F108" s="75"/>
      <c r="G108" s="75"/>
      <c r="H108" s="76"/>
    </row>
    <row r="109" spans="1:8" ht="15.95" customHeight="1" x14ac:dyDescent="0.3">
      <c r="A109" s="74"/>
      <c r="B109" s="75"/>
      <c r="C109" s="75"/>
      <c r="D109" s="75"/>
      <c r="E109" s="75"/>
      <c r="F109" s="75"/>
      <c r="G109" s="75"/>
      <c r="H109" s="76"/>
    </row>
    <row r="110" spans="1:8" ht="15.95" customHeight="1" x14ac:dyDescent="0.3">
      <c r="A110" s="74"/>
      <c r="B110" s="75"/>
      <c r="C110" s="75"/>
      <c r="D110" s="75"/>
      <c r="E110" s="75"/>
      <c r="F110" s="75"/>
      <c r="G110" s="75"/>
      <c r="H110" s="76"/>
    </row>
    <row r="111" spans="1:8" ht="15.95" customHeight="1" x14ac:dyDescent="0.3">
      <c r="A111" s="74"/>
      <c r="B111" s="75"/>
      <c r="C111" s="75"/>
      <c r="D111" s="75"/>
      <c r="E111" s="75"/>
      <c r="F111" s="75"/>
      <c r="G111" s="75"/>
      <c r="H111" s="76"/>
    </row>
    <row r="112" spans="1:8" ht="15.95" customHeight="1" x14ac:dyDescent="0.3">
      <c r="A112" s="74"/>
      <c r="B112" s="75"/>
      <c r="C112" s="75"/>
      <c r="D112" s="75"/>
      <c r="E112" s="75"/>
      <c r="F112" s="75"/>
      <c r="G112" s="75"/>
      <c r="H112" s="76"/>
    </row>
    <row r="113" spans="1:8" ht="15.95" customHeight="1" x14ac:dyDescent="0.3">
      <c r="A113" s="74"/>
      <c r="B113" s="75"/>
      <c r="C113" s="75"/>
      <c r="D113" s="75"/>
      <c r="E113" s="75"/>
      <c r="F113" s="75"/>
      <c r="G113" s="75"/>
      <c r="H113" s="76"/>
    </row>
    <row r="114" spans="1:8" ht="15.95" customHeight="1" x14ac:dyDescent="0.3">
      <c r="A114" s="74"/>
      <c r="B114" s="75"/>
      <c r="C114" s="75"/>
      <c r="D114" s="75"/>
      <c r="E114" s="75"/>
      <c r="F114" s="75"/>
      <c r="G114" s="75"/>
      <c r="H114" s="76"/>
    </row>
    <row r="115" spans="1:8" ht="15.95" customHeight="1" x14ac:dyDescent="0.3">
      <c r="A115" s="74"/>
      <c r="B115" s="75"/>
      <c r="C115" s="75"/>
      <c r="D115" s="75"/>
      <c r="E115" s="75"/>
      <c r="F115" s="75"/>
      <c r="G115" s="75"/>
      <c r="H115" s="76"/>
    </row>
    <row r="116" spans="1:8" ht="15.95" customHeight="1" x14ac:dyDescent="0.3">
      <c r="A116" s="74"/>
      <c r="B116" s="75"/>
      <c r="C116" s="75"/>
      <c r="D116" s="75"/>
      <c r="E116" s="75"/>
      <c r="F116" s="75"/>
      <c r="G116" s="75"/>
      <c r="H116" s="76"/>
    </row>
    <row r="117" spans="1:8" ht="15.95" customHeight="1" x14ac:dyDescent="0.3">
      <c r="A117" s="74"/>
      <c r="B117" s="75"/>
      <c r="C117" s="75"/>
      <c r="D117" s="75"/>
      <c r="E117" s="75"/>
      <c r="F117" s="75"/>
      <c r="G117" s="75"/>
      <c r="H117" s="76"/>
    </row>
    <row r="118" spans="1:8" ht="15.95" customHeight="1" x14ac:dyDescent="0.3">
      <c r="A118" s="74"/>
      <c r="B118" s="75"/>
      <c r="C118" s="75"/>
      <c r="D118" s="75"/>
      <c r="E118" s="75"/>
      <c r="F118" s="75"/>
      <c r="G118" s="75"/>
      <c r="H118" s="76"/>
    </row>
    <row r="119" spans="1:8" ht="15.95" customHeight="1" x14ac:dyDescent="0.3">
      <c r="A119" s="74"/>
      <c r="B119" s="75"/>
      <c r="C119" s="75"/>
      <c r="D119" s="75"/>
      <c r="E119" s="75"/>
      <c r="F119" s="75"/>
      <c r="G119" s="75"/>
      <c r="H119" s="76"/>
    </row>
    <row r="120" spans="1:8" ht="15.95" customHeight="1" x14ac:dyDescent="0.3">
      <c r="A120" s="74"/>
      <c r="B120" s="75"/>
      <c r="C120" s="75"/>
      <c r="D120" s="75"/>
      <c r="E120" s="75"/>
      <c r="F120" s="75"/>
      <c r="G120" s="75"/>
      <c r="H120" s="76"/>
    </row>
    <row r="121" spans="1:8" ht="15.95" customHeight="1" x14ac:dyDescent="0.3">
      <c r="A121" s="74"/>
      <c r="B121" s="75"/>
      <c r="C121" s="75"/>
      <c r="D121" s="75"/>
      <c r="E121" s="75"/>
      <c r="F121" s="75"/>
      <c r="G121" s="75"/>
      <c r="H121" s="76"/>
    </row>
    <row r="122" spans="1:8" ht="15.95" customHeight="1" x14ac:dyDescent="0.3">
      <c r="A122" s="74"/>
      <c r="B122" s="75"/>
      <c r="C122" s="75"/>
      <c r="D122" s="75"/>
      <c r="E122" s="75"/>
      <c r="F122" s="75"/>
      <c r="G122" s="75"/>
      <c r="H122" s="76"/>
    </row>
    <row r="123" spans="1:8" ht="15.95" customHeight="1" x14ac:dyDescent="0.3">
      <c r="A123" s="74"/>
      <c r="B123" s="75"/>
      <c r="C123" s="75"/>
      <c r="D123" s="75"/>
      <c r="E123" s="75"/>
      <c r="F123" s="75"/>
      <c r="G123" s="75"/>
      <c r="H123" s="76"/>
    </row>
    <row r="124" spans="1:8" ht="15.95" customHeight="1" x14ac:dyDescent="0.3">
      <c r="A124" s="74"/>
      <c r="B124" s="75"/>
      <c r="C124" s="75"/>
      <c r="D124" s="75"/>
      <c r="E124" s="75"/>
      <c r="F124" s="75"/>
      <c r="G124" s="75"/>
      <c r="H124" s="76"/>
    </row>
    <row r="125" spans="1:8" ht="15.95" customHeight="1" x14ac:dyDescent="0.3">
      <c r="A125" s="74"/>
      <c r="B125" s="75"/>
      <c r="C125" s="75"/>
      <c r="D125" s="75"/>
      <c r="E125" s="75"/>
      <c r="F125" s="75"/>
      <c r="G125" s="75"/>
      <c r="H125" s="76"/>
    </row>
    <row r="126" spans="1:8" ht="15.95" customHeight="1" x14ac:dyDescent="0.3">
      <c r="A126" s="74"/>
      <c r="B126" s="75"/>
      <c r="C126" s="75"/>
      <c r="D126" s="75"/>
      <c r="E126" s="75"/>
      <c r="F126" s="75"/>
      <c r="G126" s="75"/>
      <c r="H126" s="76"/>
    </row>
    <row r="127" spans="1:8" ht="15.95" customHeight="1" x14ac:dyDescent="0.3">
      <c r="A127" s="74"/>
      <c r="B127" s="75"/>
      <c r="C127" s="75"/>
      <c r="D127" s="75"/>
      <c r="E127" s="75"/>
      <c r="F127" s="75"/>
      <c r="G127" s="75"/>
      <c r="H127" s="76"/>
    </row>
    <row r="128" spans="1:8" ht="15.95" customHeight="1" x14ac:dyDescent="0.3">
      <c r="A128" s="74"/>
      <c r="B128" s="75"/>
      <c r="C128" s="75"/>
      <c r="D128" s="75"/>
      <c r="E128" s="75"/>
      <c r="F128" s="75"/>
      <c r="G128" s="75"/>
      <c r="H128" s="76"/>
    </row>
    <row r="129" spans="1:8" ht="15.95" customHeight="1" x14ac:dyDescent="0.3">
      <c r="A129" s="74"/>
      <c r="B129" s="75"/>
      <c r="C129" s="75"/>
      <c r="D129" s="75"/>
      <c r="E129" s="75"/>
      <c r="F129" s="75"/>
      <c r="G129" s="75"/>
      <c r="H129" s="76"/>
    </row>
    <row r="130" spans="1:8" ht="15.95" customHeight="1" x14ac:dyDescent="0.3">
      <c r="A130" s="74"/>
      <c r="B130" s="75"/>
      <c r="C130" s="75"/>
      <c r="D130" s="75"/>
      <c r="E130" s="75"/>
      <c r="F130" s="75"/>
      <c r="G130" s="75"/>
      <c r="H130" s="76"/>
    </row>
    <row r="131" spans="1:8" ht="15.95" customHeight="1" x14ac:dyDescent="0.3">
      <c r="A131" s="74"/>
      <c r="B131" s="75"/>
      <c r="C131" s="75"/>
      <c r="D131" s="75"/>
      <c r="E131" s="75"/>
      <c r="F131" s="75"/>
      <c r="G131" s="75"/>
      <c r="H131" s="76"/>
    </row>
    <row r="132" spans="1:8" ht="15.95" customHeight="1" x14ac:dyDescent="0.3">
      <c r="A132" s="74"/>
      <c r="B132" s="75"/>
      <c r="C132" s="75"/>
      <c r="D132" s="75"/>
      <c r="E132" s="75"/>
      <c r="F132" s="75"/>
      <c r="G132" s="75"/>
      <c r="H132" s="76"/>
    </row>
    <row r="133" spans="1:8" ht="15.95" customHeight="1" thickBot="1" x14ac:dyDescent="0.35">
      <c r="A133" s="77"/>
      <c r="B133" s="78"/>
      <c r="C133" s="78"/>
      <c r="D133" s="78"/>
      <c r="E133" s="78"/>
      <c r="F133" s="78"/>
      <c r="G133" s="78"/>
      <c r="H133" s="79"/>
    </row>
    <row r="134" spans="1:8" x14ac:dyDescent="0.3">
      <c r="A134" s="1" t="e">
        <f>- Apache commons.net 라이브러리 FTP 통신 개발</f>
        <v>#NAME?</v>
      </c>
    </row>
    <row r="135" spans="1:8" ht="18" customHeight="1" thickBot="1" x14ac:dyDescent="0.35">
      <c r="A135" s="6" t="s">
        <v>148</v>
      </c>
    </row>
    <row r="136" spans="1:8" ht="15.95" customHeight="1" x14ac:dyDescent="0.3">
      <c r="A136" s="71" t="s">
        <v>196</v>
      </c>
      <c r="B136" s="72"/>
      <c r="C136" s="72"/>
      <c r="D136" s="72"/>
      <c r="E136" s="72"/>
      <c r="F136" s="72"/>
      <c r="G136" s="72"/>
      <c r="H136" s="73"/>
    </row>
    <row r="137" spans="1:8" ht="15.95" customHeight="1" x14ac:dyDescent="0.3">
      <c r="A137" s="74"/>
      <c r="B137" s="75"/>
      <c r="C137" s="75"/>
      <c r="D137" s="75"/>
      <c r="E137" s="75"/>
      <c r="F137" s="75"/>
      <c r="G137" s="75"/>
      <c r="H137" s="76"/>
    </row>
    <row r="138" spans="1:8" ht="15.95" customHeight="1" x14ac:dyDescent="0.3">
      <c r="A138" s="74"/>
      <c r="B138" s="75"/>
      <c r="C138" s="75"/>
      <c r="D138" s="75"/>
      <c r="E138" s="75"/>
      <c r="F138" s="75"/>
      <c r="G138" s="75"/>
      <c r="H138" s="76"/>
    </row>
    <row r="139" spans="1:8" ht="15.95" customHeight="1" x14ac:dyDescent="0.3">
      <c r="A139" s="74"/>
      <c r="B139" s="75"/>
      <c r="C139" s="75"/>
      <c r="D139" s="75"/>
      <c r="E139" s="75"/>
      <c r="F139" s="75"/>
      <c r="G139" s="75"/>
      <c r="H139" s="76"/>
    </row>
    <row r="140" spans="1:8" ht="15.95" customHeight="1" x14ac:dyDescent="0.3">
      <c r="A140" s="74"/>
      <c r="B140" s="75"/>
      <c r="C140" s="75"/>
      <c r="D140" s="75"/>
      <c r="E140" s="75"/>
      <c r="F140" s="75"/>
      <c r="G140" s="75"/>
      <c r="H140" s="76"/>
    </row>
    <row r="141" spans="1:8" ht="15.95" customHeight="1" x14ac:dyDescent="0.3">
      <c r="A141" s="74"/>
      <c r="B141" s="75"/>
      <c r="C141" s="75"/>
      <c r="D141" s="75"/>
      <c r="E141" s="75"/>
      <c r="F141" s="75"/>
      <c r="G141" s="75"/>
      <c r="H141" s="76"/>
    </row>
    <row r="142" spans="1:8" ht="15.95" customHeight="1" x14ac:dyDescent="0.3">
      <c r="A142" s="74"/>
      <c r="B142" s="75"/>
      <c r="C142" s="75"/>
      <c r="D142" s="75"/>
      <c r="E142" s="75"/>
      <c r="F142" s="75"/>
      <c r="G142" s="75"/>
      <c r="H142" s="76"/>
    </row>
    <row r="143" spans="1:8" ht="15.95" customHeight="1" x14ac:dyDescent="0.3">
      <c r="A143" s="74"/>
      <c r="B143" s="75"/>
      <c r="C143" s="75"/>
      <c r="D143" s="75"/>
      <c r="E143" s="75"/>
      <c r="F143" s="75"/>
      <c r="G143" s="75"/>
      <c r="H143" s="76"/>
    </row>
    <row r="144" spans="1:8" ht="15.95" customHeight="1" x14ac:dyDescent="0.3">
      <c r="A144" s="74"/>
      <c r="B144" s="75"/>
      <c r="C144" s="75"/>
      <c r="D144" s="75"/>
      <c r="E144" s="75"/>
      <c r="F144" s="75"/>
      <c r="G144" s="75"/>
      <c r="H144" s="76"/>
    </row>
    <row r="145" spans="1:8" ht="15.95" customHeight="1" x14ac:dyDescent="0.3">
      <c r="A145" s="74"/>
      <c r="B145" s="75"/>
      <c r="C145" s="75"/>
      <c r="D145" s="75"/>
      <c r="E145" s="75"/>
      <c r="F145" s="75"/>
      <c r="G145" s="75"/>
      <c r="H145" s="76"/>
    </row>
    <row r="146" spans="1:8" ht="15.95" customHeight="1" x14ac:dyDescent="0.3">
      <c r="A146" s="74"/>
      <c r="B146" s="75"/>
      <c r="C146" s="75"/>
      <c r="D146" s="75"/>
      <c r="E146" s="75"/>
      <c r="F146" s="75"/>
      <c r="G146" s="75"/>
      <c r="H146" s="76"/>
    </row>
    <row r="147" spans="1:8" ht="15.95" customHeight="1" x14ac:dyDescent="0.3">
      <c r="A147" s="74"/>
      <c r="B147" s="75"/>
      <c r="C147" s="75"/>
      <c r="D147" s="75"/>
      <c r="E147" s="75"/>
      <c r="F147" s="75"/>
      <c r="G147" s="75"/>
      <c r="H147" s="76"/>
    </row>
    <row r="148" spans="1:8" ht="15.95" customHeight="1" x14ac:dyDescent="0.3">
      <c r="A148" s="74"/>
      <c r="B148" s="75"/>
      <c r="C148" s="75"/>
      <c r="D148" s="75"/>
      <c r="E148" s="75"/>
      <c r="F148" s="75"/>
      <c r="G148" s="75"/>
      <c r="H148" s="76"/>
    </row>
    <row r="149" spans="1:8" ht="15.95" customHeight="1" x14ac:dyDescent="0.3">
      <c r="A149" s="74"/>
      <c r="B149" s="75"/>
      <c r="C149" s="75"/>
      <c r="D149" s="75"/>
      <c r="E149" s="75"/>
      <c r="F149" s="75"/>
      <c r="G149" s="75"/>
      <c r="H149" s="76"/>
    </row>
    <row r="150" spans="1:8" ht="15.95" customHeight="1" x14ac:dyDescent="0.3">
      <c r="A150" s="74"/>
      <c r="B150" s="75"/>
      <c r="C150" s="75"/>
      <c r="D150" s="75"/>
      <c r="E150" s="75"/>
      <c r="F150" s="75"/>
      <c r="G150" s="75"/>
      <c r="H150" s="76"/>
    </row>
    <row r="151" spans="1:8" ht="15.95" customHeight="1" x14ac:dyDescent="0.3">
      <c r="A151" s="74"/>
      <c r="B151" s="75"/>
      <c r="C151" s="75"/>
      <c r="D151" s="75"/>
      <c r="E151" s="75"/>
      <c r="F151" s="75"/>
      <c r="G151" s="75"/>
      <c r="H151" s="76"/>
    </row>
    <row r="152" spans="1:8" ht="15.95" customHeight="1" x14ac:dyDescent="0.3">
      <c r="A152" s="74"/>
      <c r="B152" s="75"/>
      <c r="C152" s="75"/>
      <c r="D152" s="75"/>
      <c r="E152" s="75"/>
      <c r="F152" s="75"/>
      <c r="G152" s="75"/>
      <c r="H152" s="76"/>
    </row>
    <row r="153" spans="1:8" ht="15.95" customHeight="1" x14ac:dyDescent="0.3">
      <c r="A153" s="74"/>
      <c r="B153" s="75"/>
      <c r="C153" s="75"/>
      <c r="D153" s="75"/>
      <c r="E153" s="75"/>
      <c r="F153" s="75"/>
      <c r="G153" s="75"/>
      <c r="H153" s="76"/>
    </row>
    <row r="154" spans="1:8" ht="15.95" customHeight="1" x14ac:dyDescent="0.3">
      <c r="A154" s="74"/>
      <c r="B154" s="75"/>
      <c r="C154" s="75"/>
      <c r="D154" s="75"/>
      <c r="E154" s="75"/>
      <c r="F154" s="75"/>
      <c r="G154" s="75"/>
      <c r="H154" s="76"/>
    </row>
    <row r="155" spans="1:8" ht="15.95" customHeight="1" x14ac:dyDescent="0.3">
      <c r="A155" s="74"/>
      <c r="B155" s="75"/>
      <c r="C155" s="75"/>
      <c r="D155" s="75"/>
      <c r="E155" s="75"/>
      <c r="F155" s="75"/>
      <c r="G155" s="75"/>
      <c r="H155" s="76"/>
    </row>
    <row r="156" spans="1:8" ht="15.95" customHeight="1" x14ac:dyDescent="0.3">
      <c r="A156" s="74"/>
      <c r="B156" s="75"/>
      <c r="C156" s="75"/>
      <c r="D156" s="75"/>
      <c r="E156" s="75"/>
      <c r="F156" s="75"/>
      <c r="G156" s="75"/>
      <c r="H156" s="76"/>
    </row>
    <row r="157" spans="1:8" ht="15.95" customHeight="1" x14ac:dyDescent="0.3">
      <c r="A157" s="74"/>
      <c r="B157" s="75"/>
      <c r="C157" s="75"/>
      <c r="D157" s="75"/>
      <c r="E157" s="75"/>
      <c r="F157" s="75"/>
      <c r="G157" s="75"/>
      <c r="H157" s="76"/>
    </row>
    <row r="158" spans="1:8" ht="15.95" customHeight="1" x14ac:dyDescent="0.3">
      <c r="A158" s="74"/>
      <c r="B158" s="75"/>
      <c r="C158" s="75"/>
      <c r="D158" s="75"/>
      <c r="E158" s="75"/>
      <c r="F158" s="75"/>
      <c r="G158" s="75"/>
      <c r="H158" s="76"/>
    </row>
    <row r="159" spans="1:8" ht="15.95" customHeight="1" x14ac:dyDescent="0.3">
      <c r="A159" s="74"/>
      <c r="B159" s="75"/>
      <c r="C159" s="75"/>
      <c r="D159" s="75"/>
      <c r="E159" s="75"/>
      <c r="F159" s="75"/>
      <c r="G159" s="75"/>
      <c r="H159" s="76"/>
    </row>
    <row r="160" spans="1:8" ht="15.95" customHeight="1" x14ac:dyDescent="0.3">
      <c r="A160" s="74"/>
      <c r="B160" s="75"/>
      <c r="C160" s="75"/>
      <c r="D160" s="75"/>
      <c r="E160" s="75"/>
      <c r="F160" s="75"/>
      <c r="G160" s="75"/>
      <c r="H160" s="76"/>
    </row>
    <row r="161" spans="1:8" ht="15.95" customHeight="1" x14ac:dyDescent="0.3">
      <c r="A161" s="74"/>
      <c r="B161" s="75"/>
      <c r="C161" s="75"/>
      <c r="D161" s="75"/>
      <c r="E161" s="75"/>
      <c r="F161" s="75"/>
      <c r="G161" s="75"/>
      <c r="H161" s="76"/>
    </row>
    <row r="162" spans="1:8" ht="15.95" customHeight="1" x14ac:dyDescent="0.3">
      <c r="A162" s="74"/>
      <c r="B162" s="75"/>
      <c r="C162" s="75"/>
      <c r="D162" s="75"/>
      <c r="E162" s="75"/>
      <c r="F162" s="75"/>
      <c r="G162" s="75"/>
      <c r="H162" s="76"/>
    </row>
    <row r="163" spans="1:8" ht="15.95" customHeight="1" x14ac:dyDescent="0.3">
      <c r="A163" s="74"/>
      <c r="B163" s="75"/>
      <c r="C163" s="75"/>
      <c r="D163" s="75"/>
      <c r="E163" s="75"/>
      <c r="F163" s="75"/>
      <c r="G163" s="75"/>
      <c r="H163" s="76"/>
    </row>
    <row r="164" spans="1:8" ht="15.95" customHeight="1" x14ac:dyDescent="0.3">
      <c r="A164" s="74"/>
      <c r="B164" s="75"/>
      <c r="C164" s="75"/>
      <c r="D164" s="75"/>
      <c r="E164" s="75"/>
      <c r="F164" s="75"/>
      <c r="G164" s="75"/>
      <c r="H164" s="76"/>
    </row>
    <row r="165" spans="1:8" ht="15.95" customHeight="1" x14ac:dyDescent="0.3">
      <c r="A165" s="74"/>
      <c r="B165" s="75"/>
      <c r="C165" s="75"/>
      <c r="D165" s="75"/>
      <c r="E165" s="75"/>
      <c r="F165" s="75"/>
      <c r="G165" s="75"/>
      <c r="H165" s="76"/>
    </row>
    <row r="166" spans="1:8" ht="15.95" customHeight="1" x14ac:dyDescent="0.3">
      <c r="A166" s="74"/>
      <c r="B166" s="75"/>
      <c r="C166" s="75"/>
      <c r="D166" s="75"/>
      <c r="E166" s="75"/>
      <c r="F166" s="75"/>
      <c r="G166" s="75"/>
      <c r="H166" s="76"/>
    </row>
    <row r="167" spans="1:8" ht="15.95" customHeight="1" x14ac:dyDescent="0.3">
      <c r="A167" s="74"/>
      <c r="B167" s="75"/>
      <c r="C167" s="75"/>
      <c r="D167" s="75"/>
      <c r="E167" s="75"/>
      <c r="F167" s="75"/>
      <c r="G167" s="75"/>
      <c r="H167" s="76"/>
    </row>
    <row r="168" spans="1:8" ht="15.95" customHeight="1" x14ac:dyDescent="0.3">
      <c r="A168" s="74"/>
      <c r="B168" s="75"/>
      <c r="C168" s="75"/>
      <c r="D168" s="75"/>
      <c r="E168" s="75"/>
      <c r="F168" s="75"/>
      <c r="G168" s="75"/>
      <c r="H168" s="76"/>
    </row>
    <row r="169" spans="1:8" ht="15.95" customHeight="1" x14ac:dyDescent="0.3">
      <c r="A169" s="74"/>
      <c r="B169" s="75"/>
      <c r="C169" s="75"/>
      <c r="D169" s="75"/>
      <c r="E169" s="75"/>
      <c r="F169" s="75"/>
      <c r="G169" s="75"/>
      <c r="H169" s="76"/>
    </row>
    <row r="170" spans="1:8" ht="15.95" customHeight="1" x14ac:dyDescent="0.3">
      <c r="A170" s="74"/>
      <c r="B170" s="75"/>
      <c r="C170" s="75"/>
      <c r="D170" s="75"/>
      <c r="E170" s="75"/>
      <c r="F170" s="75"/>
      <c r="G170" s="75"/>
      <c r="H170" s="76"/>
    </row>
    <row r="171" spans="1:8" ht="15.95" customHeight="1" x14ac:dyDescent="0.3">
      <c r="A171" s="74"/>
      <c r="B171" s="75"/>
      <c r="C171" s="75"/>
      <c r="D171" s="75"/>
      <c r="E171" s="75"/>
      <c r="F171" s="75"/>
      <c r="G171" s="75"/>
      <c r="H171" s="76"/>
    </row>
    <row r="172" spans="1:8" ht="15.95" customHeight="1" x14ac:dyDescent="0.3">
      <c r="A172" s="74"/>
      <c r="B172" s="75"/>
      <c r="C172" s="75"/>
      <c r="D172" s="75"/>
      <c r="E172" s="75"/>
      <c r="F172" s="75"/>
      <c r="G172" s="75"/>
      <c r="H172" s="76"/>
    </row>
    <row r="173" spans="1:8" ht="15.95" customHeight="1" x14ac:dyDescent="0.3">
      <c r="A173" s="74"/>
      <c r="B173" s="75"/>
      <c r="C173" s="75"/>
      <c r="D173" s="75"/>
      <c r="E173" s="75"/>
      <c r="F173" s="75"/>
      <c r="G173" s="75"/>
      <c r="H173" s="76"/>
    </row>
    <row r="174" spans="1:8" ht="15.95" customHeight="1" x14ac:dyDescent="0.3">
      <c r="A174" s="74"/>
      <c r="B174" s="75"/>
      <c r="C174" s="75"/>
      <c r="D174" s="75"/>
      <c r="E174" s="75"/>
      <c r="F174" s="75"/>
      <c r="G174" s="75"/>
      <c r="H174" s="76"/>
    </row>
    <row r="175" spans="1:8" ht="15.95" customHeight="1" x14ac:dyDescent="0.3">
      <c r="A175" s="74"/>
      <c r="B175" s="75"/>
      <c r="C175" s="75"/>
      <c r="D175" s="75"/>
      <c r="E175" s="75"/>
      <c r="F175" s="75"/>
      <c r="G175" s="75"/>
      <c r="H175" s="76"/>
    </row>
    <row r="176" spans="1:8" ht="15.95" customHeight="1" x14ac:dyDescent="0.3">
      <c r="A176" s="74"/>
      <c r="B176" s="75"/>
      <c r="C176" s="75"/>
      <c r="D176" s="75"/>
      <c r="E176" s="75"/>
      <c r="F176" s="75"/>
      <c r="G176" s="75"/>
      <c r="H176" s="76"/>
    </row>
    <row r="177" spans="1:8" ht="15.95" customHeight="1" x14ac:dyDescent="0.3">
      <c r="A177" s="74"/>
      <c r="B177" s="75"/>
      <c r="C177" s="75"/>
      <c r="D177" s="75"/>
      <c r="E177" s="75"/>
      <c r="F177" s="75"/>
      <c r="G177" s="75"/>
      <c r="H177" s="76"/>
    </row>
    <row r="178" spans="1:8" ht="15.95" customHeight="1" x14ac:dyDescent="0.3">
      <c r="A178" s="74"/>
      <c r="B178" s="75"/>
      <c r="C178" s="75"/>
      <c r="D178" s="75"/>
      <c r="E178" s="75"/>
      <c r="F178" s="75"/>
      <c r="G178" s="75"/>
      <c r="H178" s="76"/>
    </row>
    <row r="179" spans="1:8" ht="15.95" customHeight="1" x14ac:dyDescent="0.3">
      <c r="A179" s="74"/>
      <c r="B179" s="75"/>
      <c r="C179" s="75"/>
      <c r="D179" s="75"/>
      <c r="E179" s="75"/>
      <c r="F179" s="75"/>
      <c r="G179" s="75"/>
      <c r="H179" s="76"/>
    </row>
    <row r="180" spans="1:8" ht="15.95" customHeight="1" x14ac:dyDescent="0.3">
      <c r="A180" s="74"/>
      <c r="B180" s="75"/>
      <c r="C180" s="75"/>
      <c r="D180" s="75"/>
      <c r="E180" s="75"/>
      <c r="F180" s="75"/>
      <c r="G180" s="75"/>
      <c r="H180" s="76"/>
    </row>
    <row r="181" spans="1:8" ht="15.95" customHeight="1" x14ac:dyDescent="0.3">
      <c r="A181" s="74"/>
      <c r="B181" s="75"/>
      <c r="C181" s="75"/>
      <c r="D181" s="75"/>
      <c r="E181" s="75"/>
      <c r="F181" s="75"/>
      <c r="G181" s="75"/>
      <c r="H181" s="76"/>
    </row>
    <row r="182" spans="1:8" ht="15.95" customHeight="1" x14ac:dyDescent="0.3">
      <c r="A182" s="74"/>
      <c r="B182" s="75"/>
      <c r="C182" s="75"/>
      <c r="D182" s="75"/>
      <c r="E182" s="75"/>
      <c r="F182" s="75"/>
      <c r="G182" s="75"/>
      <c r="H182" s="76"/>
    </row>
    <row r="183" spans="1:8" ht="15.95" customHeight="1" x14ac:dyDescent="0.3">
      <c r="A183" s="74"/>
      <c r="B183" s="75"/>
      <c r="C183" s="75"/>
      <c r="D183" s="75"/>
      <c r="E183" s="75"/>
      <c r="F183" s="75"/>
      <c r="G183" s="75"/>
      <c r="H183" s="76"/>
    </row>
    <row r="184" spans="1:8" ht="15.95" customHeight="1" x14ac:dyDescent="0.3">
      <c r="A184" s="74"/>
      <c r="B184" s="75"/>
      <c r="C184" s="75"/>
      <c r="D184" s="75"/>
      <c r="E184" s="75"/>
      <c r="F184" s="75"/>
      <c r="G184" s="75"/>
      <c r="H184" s="76"/>
    </row>
    <row r="185" spans="1:8" ht="15.95" customHeight="1" x14ac:dyDescent="0.3">
      <c r="A185" s="74"/>
      <c r="B185" s="75"/>
      <c r="C185" s="75"/>
      <c r="D185" s="75"/>
      <c r="E185" s="75"/>
      <c r="F185" s="75"/>
      <c r="G185" s="75"/>
      <c r="H185" s="76"/>
    </row>
    <row r="186" spans="1:8" ht="15.95" customHeight="1" x14ac:dyDescent="0.3">
      <c r="A186" s="74"/>
      <c r="B186" s="75"/>
      <c r="C186" s="75"/>
      <c r="D186" s="75"/>
      <c r="E186" s="75"/>
      <c r="F186" s="75"/>
      <c r="G186" s="75"/>
      <c r="H186" s="76"/>
    </row>
    <row r="187" spans="1:8" ht="15.95" customHeight="1" x14ac:dyDescent="0.3">
      <c r="A187" s="74"/>
      <c r="B187" s="75"/>
      <c r="C187" s="75"/>
      <c r="D187" s="75"/>
      <c r="E187" s="75"/>
      <c r="F187" s="75"/>
      <c r="G187" s="75"/>
      <c r="H187" s="76"/>
    </row>
    <row r="188" spans="1:8" ht="15.95" customHeight="1" x14ac:dyDescent="0.3">
      <c r="A188" s="74"/>
      <c r="B188" s="75"/>
      <c r="C188" s="75"/>
      <c r="D188" s="75"/>
      <c r="E188" s="75"/>
      <c r="F188" s="75"/>
      <c r="G188" s="75"/>
      <c r="H188" s="76"/>
    </row>
    <row r="189" spans="1:8" ht="15.95" customHeight="1" x14ac:dyDescent="0.3">
      <c r="A189" s="74"/>
      <c r="B189" s="75"/>
      <c r="C189" s="75"/>
      <c r="D189" s="75"/>
      <c r="E189" s="75"/>
      <c r="F189" s="75"/>
      <c r="G189" s="75"/>
      <c r="H189" s="76"/>
    </row>
    <row r="190" spans="1:8" ht="15.95" customHeight="1" x14ac:dyDescent="0.3">
      <c r="A190" s="74"/>
      <c r="B190" s="75"/>
      <c r="C190" s="75"/>
      <c r="D190" s="75"/>
      <c r="E190" s="75"/>
      <c r="F190" s="75"/>
      <c r="G190" s="75"/>
      <c r="H190" s="76"/>
    </row>
    <row r="191" spans="1:8" ht="15.95" customHeight="1" x14ac:dyDescent="0.3">
      <c r="A191" s="74"/>
      <c r="B191" s="75"/>
      <c r="C191" s="75"/>
      <c r="D191" s="75"/>
      <c r="E191" s="75"/>
      <c r="F191" s="75"/>
      <c r="G191" s="75"/>
      <c r="H191" s="76"/>
    </row>
    <row r="192" spans="1:8" ht="15.95" customHeight="1" x14ac:dyDescent="0.3">
      <c r="A192" s="74"/>
      <c r="B192" s="75"/>
      <c r="C192" s="75"/>
      <c r="D192" s="75"/>
      <c r="E192" s="75"/>
      <c r="F192" s="75"/>
      <c r="G192" s="75"/>
      <c r="H192" s="76"/>
    </row>
    <row r="193" spans="1:8" ht="15.95" customHeight="1" x14ac:dyDescent="0.3">
      <c r="A193" s="74"/>
      <c r="B193" s="75"/>
      <c r="C193" s="75"/>
      <c r="D193" s="75"/>
      <c r="E193" s="75"/>
      <c r="F193" s="75"/>
      <c r="G193" s="75"/>
      <c r="H193" s="76"/>
    </row>
    <row r="194" spans="1:8" ht="15.95" customHeight="1" x14ac:dyDescent="0.3">
      <c r="A194" s="74"/>
      <c r="B194" s="75"/>
      <c r="C194" s="75"/>
      <c r="D194" s="75"/>
      <c r="E194" s="75"/>
      <c r="F194" s="75"/>
      <c r="G194" s="75"/>
      <c r="H194" s="76"/>
    </row>
    <row r="195" spans="1:8" ht="15.95" customHeight="1" x14ac:dyDescent="0.3">
      <c r="A195" s="74"/>
      <c r="B195" s="75"/>
      <c r="C195" s="75"/>
      <c r="D195" s="75"/>
      <c r="E195" s="75"/>
      <c r="F195" s="75"/>
      <c r="G195" s="75"/>
      <c r="H195" s="76"/>
    </row>
    <row r="196" spans="1:8" ht="15.95" customHeight="1" x14ac:dyDescent="0.3">
      <c r="A196" s="74"/>
      <c r="B196" s="75"/>
      <c r="C196" s="75"/>
      <c r="D196" s="75"/>
      <c r="E196" s="75"/>
      <c r="F196" s="75"/>
      <c r="G196" s="75"/>
      <c r="H196" s="76"/>
    </row>
    <row r="197" spans="1:8" ht="15.95" customHeight="1" x14ac:dyDescent="0.3">
      <c r="A197" s="74"/>
      <c r="B197" s="75"/>
      <c r="C197" s="75"/>
      <c r="D197" s="75"/>
      <c r="E197" s="75"/>
      <c r="F197" s="75"/>
      <c r="G197" s="75"/>
      <c r="H197" s="76"/>
    </row>
    <row r="198" spans="1:8" ht="15.95" customHeight="1" x14ac:dyDescent="0.3">
      <c r="A198" s="74"/>
      <c r="B198" s="75"/>
      <c r="C198" s="75"/>
      <c r="D198" s="75"/>
      <c r="E198" s="75"/>
      <c r="F198" s="75"/>
      <c r="G198" s="75"/>
      <c r="H198" s="76"/>
    </row>
    <row r="199" spans="1:8" ht="15.95" customHeight="1" x14ac:dyDescent="0.3">
      <c r="A199" s="74"/>
      <c r="B199" s="75"/>
      <c r="C199" s="75"/>
      <c r="D199" s="75"/>
      <c r="E199" s="75"/>
      <c r="F199" s="75"/>
      <c r="G199" s="75"/>
      <c r="H199" s="76"/>
    </row>
    <row r="200" spans="1:8" ht="15.95" customHeight="1" x14ac:dyDescent="0.3">
      <c r="A200" s="74"/>
      <c r="B200" s="75"/>
      <c r="C200" s="75"/>
      <c r="D200" s="75"/>
      <c r="E200" s="75"/>
      <c r="F200" s="75"/>
      <c r="G200" s="75"/>
      <c r="H200" s="76"/>
    </row>
    <row r="201" spans="1:8" ht="15.95" customHeight="1" thickBot="1" x14ac:dyDescent="0.35">
      <c r="A201" s="77"/>
      <c r="B201" s="78"/>
      <c r="C201" s="78"/>
      <c r="D201" s="78"/>
      <c r="E201" s="78"/>
      <c r="F201" s="78"/>
      <c r="G201" s="78"/>
      <c r="H201" s="79"/>
    </row>
  </sheetData>
  <sheetProtection selectLockedCells="1"/>
  <mergeCells count="71">
    <mergeCell ref="B12:F12"/>
    <mergeCell ref="A38:B38"/>
    <mergeCell ref="A39:B39"/>
    <mergeCell ref="A40:B40"/>
    <mergeCell ref="A41:B41"/>
    <mergeCell ref="C41:D41"/>
    <mergeCell ref="C40:D40"/>
    <mergeCell ref="C39:D39"/>
    <mergeCell ref="C38:D38"/>
    <mergeCell ref="E38:F38"/>
    <mergeCell ref="E39:F39"/>
    <mergeCell ref="E40:F40"/>
    <mergeCell ref="E41:F41"/>
    <mergeCell ref="G23:H23"/>
    <mergeCell ref="G24:H24"/>
    <mergeCell ref="G25:H25"/>
    <mergeCell ref="G26:H26"/>
    <mergeCell ref="A64:H64"/>
    <mergeCell ref="G62:H62"/>
    <mergeCell ref="G41:H41"/>
    <mergeCell ref="G60:H60"/>
    <mergeCell ref="G61:H61"/>
    <mergeCell ref="G45:H45"/>
    <mergeCell ref="A55:B55"/>
    <mergeCell ref="A56:B56"/>
    <mergeCell ref="C56:H56"/>
    <mergeCell ref="C54:D54"/>
    <mergeCell ref="C47:D47"/>
    <mergeCell ref="G47:H47"/>
    <mergeCell ref="E11:F11"/>
    <mergeCell ref="E10:F10"/>
    <mergeCell ref="A5:B5"/>
    <mergeCell ref="A6:B6"/>
    <mergeCell ref="E5:F5"/>
    <mergeCell ref="E6:F6"/>
    <mergeCell ref="E9:F9"/>
    <mergeCell ref="B9:C9"/>
    <mergeCell ref="B10:C10"/>
    <mergeCell ref="B11:C11"/>
    <mergeCell ref="A136:H201"/>
    <mergeCell ref="A54:B54"/>
    <mergeCell ref="A44:B44"/>
    <mergeCell ref="A45:B45"/>
    <mergeCell ref="A46:B46"/>
    <mergeCell ref="A47:B47"/>
    <mergeCell ref="G44:H44"/>
    <mergeCell ref="E44:F44"/>
    <mergeCell ref="E45:F45"/>
    <mergeCell ref="E46:F46"/>
    <mergeCell ref="C44:D44"/>
    <mergeCell ref="E47:F47"/>
    <mergeCell ref="F51:G51"/>
    <mergeCell ref="A68:H133"/>
    <mergeCell ref="C45:D45"/>
    <mergeCell ref="C46:D46"/>
    <mergeCell ref="G46:H46"/>
    <mergeCell ref="F50:G50"/>
    <mergeCell ref="G59:H59"/>
    <mergeCell ref="E54:F54"/>
    <mergeCell ref="C55:D55"/>
    <mergeCell ref="E55:F55"/>
    <mergeCell ref="G27:H27"/>
    <mergeCell ref="G40:H40"/>
    <mergeCell ref="G33:H33"/>
    <mergeCell ref="G28:H28"/>
    <mergeCell ref="G29:H29"/>
    <mergeCell ref="G30:H30"/>
    <mergeCell ref="G31:H31"/>
    <mergeCell ref="G32:H32"/>
    <mergeCell ref="G38:H38"/>
    <mergeCell ref="G39:H39"/>
  </mergeCells>
  <phoneticPr fontId="2" type="noConversion"/>
  <dataValidations count="9">
    <dataValidation type="list" allowBlank="1" showInputMessage="1" showErrorMessage="1" sqref="B17:B20" xr:uid="{00000000-0002-0000-0100-000000000000}">
      <formula1>"전문학사, 학사, 석사, 박사"</formula1>
    </dataValidation>
    <dataValidation type="list" allowBlank="1" showInputMessage="1" showErrorMessage="1" sqref="E16:E20" xr:uid="{00000000-0002-0000-0100-000001000000}">
      <formula1>"졸업, 수료, 중퇴"</formula1>
    </dataValidation>
    <dataValidation type="list" allowBlank="1" showInputMessage="1" showErrorMessage="1" sqref="B24:B33" xr:uid="{00000000-0002-0000-0100-000002000000}">
      <formula1>"정규직, 계약직, 파견직, 개인도급(프리랜서), 개인사업, 기타"</formula1>
    </dataValidation>
    <dataValidation type="list" allowBlank="1" showInputMessage="1" showErrorMessage="1" sqref="E51 A51" xr:uid="{00000000-0002-0000-0100-000003000000}">
      <formula1>"해당, 미해당"</formula1>
    </dataValidation>
    <dataValidation type="list" allowBlank="1" showInputMessage="1" showErrorMessage="1" sqref="A55:B55" xr:uid="{00000000-0002-0000-0100-000004000000}">
      <formula1>"병역필, 미필, 면제, 여자"</formula1>
    </dataValidation>
    <dataValidation type="list" allowBlank="1" showInputMessage="1" showErrorMessage="1" sqref="C55:D55" xr:uid="{00000000-0002-0000-0100-000005000000}">
      <formula1>"육군, 해군, 공군, 해병대, 공익근무, 병역특례, 기타"</formula1>
    </dataValidation>
    <dataValidation type="list" allowBlank="1" showInputMessage="1" showErrorMessage="1" sqref="E6:F6" xr:uid="{00000000-0002-0000-0100-000006000000}">
      <formula1>"CJ오쇼핑, CJ올리브영, CJ ONE, CJ대한통운, CJ프레시웨이, CJ ENM, CJ올리브네트웍스/제일제당"</formula1>
    </dataValidation>
    <dataValidation type="list" allowBlank="1" showInputMessage="1" showErrorMessage="1" sqref="A60:F60" xr:uid="{00000000-0002-0000-0100-000007000000}">
      <formula1>$I$1:$I$8</formula1>
    </dataValidation>
    <dataValidation type="list" allowBlank="1" showInputMessage="1" showErrorMessage="1" sqref="A62:F62" xr:uid="{00000000-0002-0000-0100-000008000000}">
      <formula1>$J$1:$J$5</formula1>
    </dataValidation>
  </dataValidations>
  <hyperlinks>
    <hyperlink ref="E11" r:id="rId1" xr:uid="{081FA92B-5D08-47A2-A8FC-DDB53487302C}"/>
  </hyperlinks>
  <printOptions horizontalCentered="1"/>
  <pageMargins left="0.39370078740157483" right="0.39370078740157483" top="0.39370078740157483" bottom="0.39370078740157483" header="0" footer="0"/>
  <pageSetup paperSize="9" scale="71" orientation="portrait" r:id="rId2"/>
  <rowBreaks count="2" manualBreakCount="2">
    <brk id="65" max="10" man="1"/>
    <brk id="133" max="10" man="1"/>
  </rowBreaks>
  <ignoredErrors>
    <ignoredError sqref="J33" evalError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개인정보취급방침</vt:lpstr>
      <vt:lpstr>입사지원서</vt:lpstr>
      <vt:lpstr>개인정보취급방침!Print_Area</vt:lpstr>
      <vt:lpstr>입사지원서!Print_Area</vt:lpstr>
    </vt:vector>
  </TitlesOfParts>
  <Company>CJ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ok</cp:lastModifiedBy>
  <cp:lastPrinted>2019-03-05T08:36:02Z</cp:lastPrinted>
  <dcterms:created xsi:type="dcterms:W3CDTF">2017-11-13T09:30:38Z</dcterms:created>
  <dcterms:modified xsi:type="dcterms:W3CDTF">2022-08-26T00:50:21Z</dcterms:modified>
</cp:coreProperties>
</file>